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F6F5FB31-4049-4578-AD9A-D37F5C86BFA7}" xr6:coauthVersionLast="47" xr6:coauthVersionMax="47" xr10:uidLastSave="{00000000-0000-0000-0000-000000000000}"/>
  <bookViews>
    <workbookView xWindow="-120" yWindow="-120" windowWidth="29040" windowHeight="1572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'1-Financeiro'!$A$1:$B$12</definedName>
    <definedName name="ExternalData_1" localSheetId="9" hidden="1">'10-Balanceamento_SHC'!$A$1:$I$2</definedName>
    <definedName name="ExternalData_1" localSheetId="10" hidden="1">'11-Balanceamento_THC'!$A$1:$I$2</definedName>
    <definedName name="ExternalData_1" localSheetId="11" hidden="1">'12-Fluxo_RegCensitaria'!$A$1:$D$162</definedName>
    <definedName name="ExternalData_1" localSheetId="12" hidden="1">'13-Fluxo_PHC'!$A$1:$D$79</definedName>
    <definedName name="ExternalData_1" localSheetId="13" hidden="1">'14-Fluxo_SHC'!$A$1:$D$30</definedName>
    <definedName name="ExternalData_1" localSheetId="14" hidden="1">'15-Fluxo_THC'!$A$1:$D$14</definedName>
    <definedName name="ExternalData_1" localSheetId="16" hidden="1">'17-Uso_SHC'!$A$1:$D$2</definedName>
    <definedName name="ExternalData_1" localSheetId="17" hidden="1">'18-Uso_THC'!$A$1:$D$2</definedName>
    <definedName name="ExternalData_1" localSheetId="1" hidden="1">'2-NovasUnidades'!$A$1:$D$4</definedName>
    <definedName name="ExternalData_1" localSheetId="2" hidden="1">'3-RealocacaoEquipe_PHC'!$A$1:$E$4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'6-ContratacaoEquipe_PHC'!$A$1:$C$25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'9-Balanceamento_PHC'!$A$1:$I$61</definedName>
    <definedName name="ExternalData_3" localSheetId="15" hidden="1">'16-Uso_PHC'!$A$1:$F$16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<sst xmlns="http://schemas.openxmlformats.org/spreadsheetml/2006/main" count="1697" uniqueCount="306">
  <si>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</si>
  <si>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</si>
  <si>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</si>
  <si>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</si>
  <si>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</si>
  <si>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</si>
  <si>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</si>
  <si>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</si>
  <si>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</si>
  <si>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</si>
  <si>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</si>
  <si>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</si>
  <si>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</si>
  <si>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</si>
  <si>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</si>
  <si>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</si>
  <si>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</si>
  <si>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</si>
  <si>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</si>
  <si>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</si>
  <si>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</si>
  <si>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</si>
  <si>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</si>
  <si>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</si>
  <si>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</si>
  <si>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</si>
  <si>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</si>
  <si>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</si>
  <si>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</si>
  <si>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</si>
  <si>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</si>
  <si>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</si>
  <si>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</si>
  <si>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</si>
  <si>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</si>
  <si>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</si>
  <si>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</si>
  <si>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</si>
  <si>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</si>
  <si>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</si>
  <si>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</si>
  <si>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</si>
  <si>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</si>
  <si>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</si>
  <si>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</si>
  <si>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</si>
  <si>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</si>
  <si>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</si>
  <si>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</si>
  <si>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</si>
  <si>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</si>
  <si>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</si>
  <si>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</si>
  <si>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L[SHC1]</t>
  </si>
  <si>
    <t>L[THC1]</t>
  </si>
  <si>
    <t>THC :</t>
  </si>
  <si>
    <t>0</t>
  </si>
  <si>
    <t>0.11</t>
  </si>
  <si>
    <t>0.1</t>
  </si>
  <si>
    <t>0.22</t>
  </si>
  <si>
    <t>3.00</t>
  </si>
  <si>
    <t>0.26</t>
  </si>
  <si>
    <t>Dist (km)</t>
  </si>
  <si>
    <t>0.12</t>
  </si>
  <si>
    <t>0.10</t>
  </si>
  <si>
    <t>0.2</t>
  </si>
  <si>
    <t>0.24</t>
  </si>
  <si>
    <t>L[SHC1] tel</t>
  </si>
  <si>
    <t>L[THC1] tel</t>
  </si>
  <si>
    <t>0.51</t>
  </si>
  <si>
    <t>0.43</t>
  </si>
  <si>
    <t>0.45</t>
  </si>
  <si>
    <t>0.67</t>
  </si>
  <si>
    <t>0.35</t>
  </si>
  <si>
    <t>0.54</t>
  </si>
  <si>
    <t>EQ2</t>
  </si>
  <si>
    <t>10.0</t>
  </si>
  <si>
    <t>0.69</t>
  </si>
  <si>
    <t>EQ3</t>
  </si>
  <si>
    <t>20.00</t>
  </si>
  <si>
    <t>25.00</t>
  </si>
  <si>
    <t>0.63</t>
  </si>
  <si>
    <t>0.75</t>
  </si>
  <si>
    <t>0.52</t>
  </si>
  <si>
    <t>1.19</t>
  </si>
  <si>
    <t>1.33</t>
  </si>
  <si>
    <t>2.52</t>
  </si>
  <si>
    <t>9000</t>
  </si>
  <si>
    <t>0.79</t>
  </si>
  <si>
    <t>1.02</t>
  </si>
  <si>
    <t>ACS</t>
  </si>
  <si>
    <t>4.00</t>
  </si>
  <si>
    <t>8.00</t>
  </si>
  <si>
    <t>4.0</t>
  </si>
  <si>
    <t>8.0</t>
  </si>
  <si>
    <t>2.02</t>
  </si>
  <si>
    <t>2.01</t>
  </si>
  <si>
    <t>0.49</t>
  </si>
  <si>
    <t>1.09</t>
  </si>
  <si>
    <t>SHC[SHC1]</t>
  </si>
  <si>
    <t>THC[THC1]</t>
  </si>
  <si>
    <t>0.9</t>
  </si>
  <si>
    <t>2.57</t>
  </si>
  <si>
    <t>0.86</t>
  </si>
  <si>
    <t>1.18</t>
  </si>
  <si>
    <t>2.03</t>
  </si>
  <si>
    <t>2500</t>
  </si>
  <si>
    <t>Exp</t>
  </si>
  <si>
    <t>TCapty</t>
  </si>
  <si>
    <t>-</t>
  </si>
  <si>
    <t>Expansion cost [Existing]:</t>
  </si>
  <si>
    <t>RegiaoCensitaria</t>
  </si>
  <si>
    <t>Local_Destino</t>
  </si>
  <si>
    <t>Qde_Pop</t>
  </si>
  <si>
    <t>Parameters</t>
  </si>
  <si>
    <t>Values</t>
  </si>
  <si>
    <t>Values_</t>
  </si>
  <si>
    <t xml:space="preserve"> 0.71</t>
  </si>
  <si>
    <t>0.6</t>
  </si>
  <si>
    <t>16.00</t>
  </si>
  <si>
    <t>16.0</t>
  </si>
  <si>
    <t>12000</t>
  </si>
  <si>
    <t xml:space="preserve"> 0.50</t>
  </si>
  <si>
    <t xml:space="preserve"> 0.83</t>
  </si>
  <si>
    <t>1</t>
  </si>
  <si>
    <t>10</t>
  </si>
  <si>
    <t>[3137602116561]</t>
  </si>
  <si>
    <t>[CLU_5629]*</t>
  </si>
  <si>
    <t>2.23</t>
  </si>
  <si>
    <t>[3137602116545]</t>
  </si>
  <si>
    <t>1.49</t>
  </si>
  <si>
    <t>[3137605402034]</t>
  </si>
  <si>
    <t>[3137602116553]</t>
  </si>
  <si>
    <t>[3137605324920]</t>
  </si>
  <si>
    <t>[3137605324912]</t>
  </si>
  <si>
    <t>[3137602116588]</t>
  </si>
  <si>
    <t>[3137605402417]</t>
  </si>
  <si>
    <t>[3137602117363]</t>
  </si>
  <si>
    <t>[3137605324904]</t>
  </si>
  <si>
    <t>[3137602116537]</t>
  </si>
  <si>
    <t>[3137605402425]</t>
  </si>
  <si>
    <t>[3137604334663]</t>
  </si>
  <si>
    <t>[3137609342923]</t>
  </si>
  <si>
    <t>-0.0</t>
  </si>
  <si>
    <t>0.08</t>
  </si>
  <si>
    <t>0.99</t>
  </si>
  <si>
    <t>1.99</t>
  </si>
  <si>
    <t>4.03</t>
  </si>
  <si>
    <t>3.99</t>
  </si>
  <si>
    <t>0.5</t>
  </si>
  <si>
    <t>0.06</t>
  </si>
  <si>
    <t>7.09</t>
  </si>
  <si>
    <t>2.9</t>
  </si>
  <si>
    <t>RC[CLU_10096]</t>
  </si>
  <si>
    <t>L[3137605402425]</t>
  </si>
  <si>
    <t>L[3137605402425] tel</t>
  </si>
  <si>
    <t>RC[CLU_5616]</t>
  </si>
  <si>
    <t>L[3137609342923]</t>
  </si>
  <si>
    <t>RC[CLU_5617]</t>
  </si>
  <si>
    <t>L[3137602116561]</t>
  </si>
  <si>
    <t>L[3137602116561] tel</t>
  </si>
  <si>
    <t>RC[CLU_5618]</t>
  </si>
  <si>
    <t>L[3137605402034]</t>
  </si>
  <si>
    <t>RC[CLU_5619]</t>
  </si>
  <si>
    <t>0.91</t>
  </si>
  <si>
    <t>RC[CLU_5620]</t>
  </si>
  <si>
    <t>RC[CLU_5621]</t>
  </si>
  <si>
    <t>L[3137605324912]</t>
  </si>
  <si>
    <t>L[3137605324904]</t>
  </si>
  <si>
    <t>RC[CLU_5622]</t>
  </si>
  <si>
    <t>L[3137602117363]</t>
  </si>
  <si>
    <t>L[3137602117363] tel</t>
  </si>
  <si>
    <t>RC[CLU_5623]</t>
  </si>
  <si>
    <t>L[3137602116545]</t>
  </si>
  <si>
    <t>RC[CLU_5624]</t>
  </si>
  <si>
    <t>2.50</t>
  </si>
  <si>
    <t>RC[CLU_5625]</t>
  </si>
  <si>
    <t>1.23</t>
  </si>
  <si>
    <t>L[3137602116537]</t>
  </si>
  <si>
    <t>L[3137602116537] tel</t>
  </si>
  <si>
    <t>RC[CLU_5626]</t>
  </si>
  <si>
    <t>L[3137602116553]</t>
  </si>
  <si>
    <t>RC[CLU_5627]</t>
  </si>
  <si>
    <t>L[3137602116553] tel</t>
  </si>
  <si>
    <t>RC[CLU_5628]</t>
  </si>
  <si>
    <t>L[3137605402034] tel</t>
  </si>
  <si>
    <t>RC[CLU_5629]</t>
  </si>
  <si>
    <t>L[CLU_5629]</t>
  </si>
  <si>
    <t>RC[CLU_5630]</t>
  </si>
  <si>
    <t>L[3137605324920]</t>
  </si>
  <si>
    <t>RC[CLU_5631]</t>
  </si>
  <si>
    <t>1.24</t>
  </si>
  <si>
    <t>RC[CLU_5632]</t>
  </si>
  <si>
    <t>L[3137605324912] tel</t>
  </si>
  <si>
    <t>L[3137605324904] tel</t>
  </si>
  <si>
    <t>RC[CLU_5633]</t>
  </si>
  <si>
    <t>L[3137602116588]</t>
  </si>
  <si>
    <t>RC[CLU_5634]</t>
  </si>
  <si>
    <t>L[3137605402417]</t>
  </si>
  <si>
    <t>L[3137605402417] tel</t>
  </si>
  <si>
    <t>RC[CLU_5635]</t>
  </si>
  <si>
    <t>RC[CLU_5636]</t>
  </si>
  <si>
    <t>RC[CLU_5637]</t>
  </si>
  <si>
    <t>RC[CLU_5638]</t>
  </si>
  <si>
    <t>L[3137605324920] tel</t>
  </si>
  <si>
    <t>RC[CLU_5639]</t>
  </si>
  <si>
    <t>L[3137602116588] tel</t>
  </si>
  <si>
    <t>RC[CLU_5640]</t>
  </si>
  <si>
    <t>0.73</t>
  </si>
  <si>
    <t>RC[CLU_5641]</t>
  </si>
  <si>
    <t>RC[CLU_5642]</t>
  </si>
  <si>
    <t>RC[CLU_5643]</t>
  </si>
  <si>
    <t>RC[CLU_5644]</t>
  </si>
  <si>
    <t>RC[CLU_5645]</t>
  </si>
  <si>
    <t>RC[CLU_5646]</t>
  </si>
  <si>
    <t>RC[CLU_5647]</t>
  </si>
  <si>
    <t>RC[CLU_5648]</t>
  </si>
  <si>
    <t>RC[CLU_5649]</t>
  </si>
  <si>
    <t>L[3137604334663]</t>
  </si>
  <si>
    <t>RC[CLU_5650]</t>
  </si>
  <si>
    <t>2.42</t>
  </si>
  <si>
    <t>RC[CLU_5652]</t>
  </si>
  <si>
    <t>1.78</t>
  </si>
  <si>
    <t>RC[CLU_5653]</t>
  </si>
  <si>
    <t>3.88</t>
  </si>
  <si>
    <t>RC[CLU_5655]</t>
  </si>
  <si>
    <t>PHC[3137605402034]</t>
  </si>
  <si>
    <t>L[CLU_5618]</t>
  </si>
  <si>
    <t>L[CLU_5628]</t>
  </si>
  <si>
    <t>L[CLU_5637]</t>
  </si>
  <si>
    <t>PHC[3137602116553]</t>
  </si>
  <si>
    <t>L[CLU_5626]</t>
  </si>
  <si>
    <t>L[CLU_5627]</t>
  </si>
  <si>
    <t>PHC[3137605324920]</t>
  </si>
  <si>
    <t>L[CLU_5630]</t>
  </si>
  <si>
    <t>L[CLU_5638]</t>
  </si>
  <si>
    <t>L[CLU_5650]</t>
  </si>
  <si>
    <t>PHC[3137605324912]</t>
  </si>
  <si>
    <t>L[CLU_5621]</t>
  </si>
  <si>
    <t>L[CLU_5632]</t>
  </si>
  <si>
    <t>PHC[3137602116588]</t>
  </si>
  <si>
    <t>L[CLU_5633]</t>
  </si>
  <si>
    <t>PHC[3137605402417]</t>
  </si>
  <si>
    <t>L[CLU_5634]</t>
  </si>
  <si>
    <t>L[CLU_5641]</t>
  </si>
  <si>
    <t>PHC[3137602117363]</t>
  </si>
  <si>
    <t>L[CLU_5622]</t>
  </si>
  <si>
    <t>L[CLU_5625]</t>
  </si>
  <si>
    <t>L[CLU_5635]</t>
  </si>
  <si>
    <t>L[CLU_5640]</t>
  </si>
  <si>
    <t>L[CLU_5645]</t>
  </si>
  <si>
    <t>L[CLU_5648]</t>
  </si>
  <si>
    <t>L[CLU_5655]</t>
  </si>
  <si>
    <t>PHC[3137605324904]</t>
  </si>
  <si>
    <t>PHC[3137602116537]</t>
  </si>
  <si>
    <t>PHC[3137602116545]</t>
  </si>
  <si>
    <t>L[CLU_5623]</t>
  </si>
  <si>
    <t>PHC[3137605402425]</t>
  </si>
  <si>
    <t>L[CLU_5619]</t>
  </si>
  <si>
    <t>L[CLU_5620]</t>
  </si>
  <si>
    <t>L[CLU_5631]</t>
  </si>
  <si>
    <t>L[CLU_5642]</t>
  </si>
  <si>
    <t>L[CLU_5646]</t>
  </si>
  <si>
    <t>L[CLU_5652]</t>
  </si>
  <si>
    <t>PHC[3137602116561]</t>
  </si>
  <si>
    <t>L[CLU_5647]</t>
  </si>
  <si>
    <t>PHC[3137604334663]</t>
  </si>
  <si>
    <t>L[CLU_5649]</t>
  </si>
  <si>
    <t>PHC[3137609342923]</t>
  </si>
  <si>
    <t>L[CLU_5616]</t>
  </si>
  <si>
    <t>PHC[CLU_5629]</t>
  </si>
  <si>
    <t>L[CLU_10096]</t>
  </si>
  <si>
    <t>L[CLU_5617]</t>
  </si>
  <si>
    <t>L[CLU_5624]</t>
  </si>
  <si>
    <t>L[CLU_5636]</t>
  </si>
  <si>
    <t>L[CLU_5643]</t>
  </si>
  <si>
    <t>L[CLU_5644]</t>
  </si>
  <si>
    <t>L[CLU_5639]</t>
  </si>
  <si>
    <t>L[CLU_5653]</t>
  </si>
  <si>
    <t>6397</t>
  </si>
  <si>
    <t>3443</t>
  </si>
  <si>
    <t xml:space="preserve"> 0.57</t>
  </si>
  <si>
    <t>6578</t>
  </si>
  <si>
    <t xml:space="preserve"> 0.73</t>
  </si>
  <si>
    <t>1975</t>
  </si>
  <si>
    <t xml:space="preserve"> 0.66</t>
  </si>
  <si>
    <t>3053</t>
  </si>
  <si>
    <t xml:space="preserve"> 0.51</t>
  </si>
  <si>
    <t>6016</t>
  </si>
  <si>
    <t xml:space="preserve"> 0.67</t>
  </si>
  <si>
    <t>15000</t>
  </si>
  <si>
    <t>12570</t>
  </si>
  <si>
    <t xml:space="preserve"> 0.84</t>
  </si>
  <si>
    <t>2625</t>
  </si>
  <si>
    <t xml:space="preserve"> 0.88</t>
  </si>
  <si>
    <t>2499</t>
  </si>
  <si>
    <t>11829</t>
  </si>
  <si>
    <t xml:space="preserve"> 0.99</t>
  </si>
  <si>
    <t>2921</t>
  </si>
  <si>
    <t xml:space="preserve"> 0.49</t>
  </si>
  <si>
    <t>1504</t>
  </si>
  <si>
    <t>[CLU_5629*]:</t>
  </si>
  <si>
    <t>4000000</t>
  </si>
  <si>
    <t>21472</t>
  </si>
  <si>
    <t>6154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</si>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</sst>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2" fontId="0" fillId="0" borderId="0" xfId="1" applyNumberFormat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6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2" tableType="queryTable" totalsRowShown="0">
  <autoFilter ref="A1:C12" xr:uid="{4379D004-ADC7-4F7D-BCC8-119DAE469CE9}"/>
  <tableColumns count="3">
    <tableColumn id="1" xr3:uid="{BA2095FB-799C-446A-9545-2548A27B0CD2}" uniqueName="1" name="Parameters" queryTableFieldId="4" dataDxfId="67" dataCellStyle="Currency"/>
    <tableColumn id="2" xr3:uid="{D92FC278-9EDE-49C9-9C0A-25FE7CCBE9EA}" uniqueName="2" name="Values" queryTableFieldId="5" dataCellStyle="Currency"/>
    <tableColumn id="3" xr3:uid="{B4C70203-1523-4FF1-B1F7-4593D80C9279}" uniqueName="3" name="Values_" queryTableFieldId="3" dataDxfId="3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6"/>
    <tableColumn id="2" xr3:uid="{0A3B9DC8-8ECE-4EF9-98CE-54AC6B39948B}" uniqueName="2" name="Qty" queryTableFieldId="6" dataDxfId="65"/>
    <tableColumn id="3" xr3:uid="{EC25C3B6-F36D-4B40-86AD-C89AD5CB0CFC}" uniqueName="3" name="Max" queryTableFieldId="7" dataDxfId="64"/>
    <tableColumn id="4" xr3:uid="{2ECC4C39-0BD1-44BD-916C-333101472770}" uniqueName="4" name="Use (%)" queryTableFieldId="8" dataDxfId="6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4" tableType="queryTable" totalsRowShown="0" headerRowDxfId="62">
  <autoFilter ref="A1:E4" xr:uid="{1DCAC603-AECA-4137-84F1-56ABD5419EB7}"/>
  <tableColumns count="5">
    <tableColumn id="1" xr3:uid="{E7707C98-82AE-4373-BE55-CE0052E81C40}" uniqueName="1" name="From" queryTableFieldId="6" dataDxfId="61"/>
    <tableColumn id="2" xr3:uid="{5AFF53F0-8B45-4174-8344-B292867067CA}" uniqueName="2" name="To" queryTableFieldId="7" dataDxfId="60"/>
    <tableColumn id="3" xr3:uid="{115BAA04-A369-4100-9DD0-F58913595039}" uniqueName="3" name="Team" queryTableFieldId="8" dataDxfId="59"/>
    <tableColumn id="4" xr3:uid="{6818C72A-28C8-4769-89EC-890D1E9B50D1}" uniqueName="4" name="Qty" queryTableFieldId="9" dataDxfId="58"/>
    <tableColumn id="5" xr3:uid="{BCCE69B2-8F04-41BC-8B72-34F684A5FF92}" uniqueName="5" name="Dist (km)" queryTableFieldId="10" dataDxfId="5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insertRow="1" totalsRowShown="0">
  <autoFilter ref="A1:E2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insertRow="1" totalsRowShown="0">
  <autoFilter ref="A1:E2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25" tableType="queryTable" totalsRowShown="0">
  <autoFilter ref="A1:C25" xr:uid="{88653CE7-50CC-4554-8F77-C1E458D1C2FD}"/>
  <tableColumns count="3">
    <tableColumn id="1" xr3:uid="{9A8E03AF-165D-4AFE-AC17-62F6FEBDC03F}" uniqueName="1" name="Location" queryTableFieldId="4" dataDxfId="2"/>
    <tableColumn id="2" xr3:uid="{CEAAF061-D048-4BAF-9780-EC029037BED9}" uniqueName="2" name="Team" queryTableFieldId="5" dataDxfId="1"/>
    <tableColumn id="3" xr3:uid="{870DDFAA-2321-4B24-8F06-3FA5927B1B5A}" uniqueName="3" name="Qty" queryTableFieldId="6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insertRow="1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insertRow="1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61" tableType="queryTable" totalsRowShown="0">
  <autoFilter ref="A1:I61" xr:uid="{41B65F2D-ED88-4595-B688-FDE8EBF15CE5}"/>
  <tableColumns count="9">
    <tableColumn id="1" xr3:uid="{654F91E4-9F7B-43C7-8E2B-6258EB829867}" uniqueName="1" name="Loc" queryTableFieldId="10" dataDxfId="56"/>
    <tableColumn id="2" xr3:uid="{BA05895D-7313-449D-9273-C544D15A2B0F}" uniqueName="2" name="Team" queryTableFieldId="11" dataDxfId="55"/>
    <tableColumn id="3" xr3:uid="{D115C363-43AA-4AC1-9FDC-97A78B26EDEC}" uniqueName="3" name="CNES" queryTableFieldId="12" dataDxfId="54"/>
    <tableColumn id="4" xr3:uid="{E9460AE7-6CFF-4BA5-A7ED-9DEF9CA59EE2}" uniqueName="4" name="Req" queryTableFieldId="13" dataDxfId="53"/>
    <tableColumn id="5" xr3:uid="{575E8E98-239A-4C38-AFAE-C4CB59D09F50}" uniqueName="5" name="Transf" queryTableFieldId="14" dataDxfId="52"/>
    <tableColumn id="6" xr3:uid="{9A46DBD0-9C98-4BA6-9F1D-F01577F86B46}" uniqueName="6" name="New" queryTableFieldId="15" dataDxfId="51"/>
    <tableColumn id="7" xr3:uid="{DF457247-2239-4290-BFC9-05A72033A63D}" uniqueName="7" name="Res" queryTableFieldId="16" dataDxfId="50"/>
    <tableColumn id="8" xr3:uid="{B87D18A7-774E-419A-B965-514B56E2A3DF}" uniqueName="8" name="Surp" queryTableFieldId="17" dataDxfId="49"/>
    <tableColumn id="9" xr3:uid="{76798E6E-2CFA-4E61-95BE-7B79A7E8596A}" uniqueName="9" name="Def" queryTableFieldId="18" dataDxfId="4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" tableType="queryTable" totalsRowShown="0">
  <autoFilter ref="A1:I2" xr:uid="{E4043EAE-E06F-4D67-AB34-F35AC3804B8C}"/>
  <tableColumns count="9">
    <tableColumn id="1" xr3:uid="{F827F856-5C51-4225-B8E8-6304126D308B}" uniqueName="1" name="Loc" queryTableFieldId="10" dataDxfId="47"/>
    <tableColumn id="2" xr3:uid="{C8BFC8EC-992C-4FA2-B4E4-98EE932E4A46}" uniqueName="2" name="Team" queryTableFieldId="11" dataDxfId="46"/>
    <tableColumn id="3" xr3:uid="{1E081DD2-D5EE-4C4F-869E-0470678F155F}" uniqueName="3" name="CNES" queryTableFieldId="12" dataDxfId="45"/>
    <tableColumn id="4" xr3:uid="{41775621-C361-40DF-A842-E11D55470803}" uniqueName="4" name="Req" queryTableFieldId="13" dataDxfId="44"/>
    <tableColumn id="5" xr3:uid="{4CE50914-353E-4E3C-8005-7105D79C804B}" uniqueName="5" name="Transf" queryTableFieldId="14" dataDxfId="43"/>
    <tableColumn id="6" xr3:uid="{31A21B74-33D5-407F-AD9F-88D85B0A2DCF}" uniqueName="6" name="New" queryTableFieldId="15" dataDxfId="42"/>
    <tableColumn id="7" xr3:uid="{50BFECD5-D938-4562-97A0-7149A240B550}" uniqueName="7" name="Res" queryTableFieldId="16" dataDxfId="41"/>
    <tableColumn id="8" xr3:uid="{61009D5B-B8B7-4912-96E4-AA8BF583454B}" uniqueName="8" name="Surp" queryTableFieldId="17" dataDxfId="40"/>
    <tableColumn id="9" xr3:uid="{CCD0B8F7-223F-4E5C-A181-D863EE03E27A}" uniqueName="9" name="Def" queryTableFieldId="18" dataDxfId="3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" tableType="queryTable" totalsRowShown="0">
  <autoFilter ref="A1:I2" xr:uid="{2EA189A1-B83B-4A52-9832-F22B2076E91E}"/>
  <tableColumns count="9">
    <tableColumn id="1" xr3:uid="{6F061C66-4B1F-46C7-BEC9-4FBEB864A111}" uniqueName="1" name="Loc" queryTableFieldId="10" dataDxfId="38"/>
    <tableColumn id="2" xr3:uid="{85B06401-62E7-434C-8AC6-9585DDE8DDB8}" uniqueName="2" name="Team" queryTableFieldId="11" dataDxfId="37"/>
    <tableColumn id="3" xr3:uid="{5084FC15-EA28-421F-8788-DDABE3B248F3}" uniqueName="3" name="CNES" queryTableFieldId="12" dataDxfId="36"/>
    <tableColumn id="4" xr3:uid="{267857F8-37A1-45B0-BA8D-F1A4179A9AA9}" uniqueName="4" name="Req" queryTableFieldId="13" dataDxfId="35"/>
    <tableColumn id="5" xr3:uid="{57A21197-9E73-4F32-AB9D-F2F9160F9194}" uniqueName="5" name="Transf" queryTableFieldId="14" dataDxfId="34"/>
    <tableColumn id="6" xr3:uid="{4B37F270-5F8F-475F-90DB-3223E809E63C}" uniqueName="6" name="New" queryTableFieldId="15" dataDxfId="33"/>
    <tableColumn id="7" xr3:uid="{D7F20F01-8E0F-4B51-ACAE-6FFA7146767C}" uniqueName="7" name="Res" queryTableFieldId="16" dataDxfId="32"/>
    <tableColumn id="8" xr3:uid="{A064683B-92FC-4B5A-A6E5-A8FCC1E68224}" uniqueName="8" name="Surp" queryTableFieldId="17" dataDxfId="31"/>
    <tableColumn id="9" xr3:uid="{5FA5A604-8A23-4977-ADE9-CA3FDABACDBC}" uniqueName="9" name="Def" queryTableFieldId="18" dataDxfId="3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162" tableType="queryTable" totalsRowShown="0">
  <autoFilter ref="A1:D162" xr:uid="{3E6E97C7-BD67-4422-B8D3-B0D3A3EBF2B3}"/>
  <tableColumns count="4">
    <tableColumn id="1" xr3:uid="{FA856C66-FFBD-4B3C-A3DE-C730D9C4223B}" uniqueName="1" name="RegiaoCensitaria" queryTableFieldId="5" dataDxfId="29"/>
    <tableColumn id="2" xr3:uid="{2E4FA71E-858B-4DF8-A52A-2E7BDF0769FF}" uniqueName="2" name="Local_Destino" queryTableFieldId="6" dataDxfId="28"/>
    <tableColumn id="3" xr3:uid="{FD49C389-4EA3-4FE0-84AC-FDA3151D8B27}" uniqueName="3" name="Qde_Pop" queryTableFieldId="7"/>
    <tableColumn id="4" xr3:uid="{196C962F-E199-41F1-835A-7CE68910808B}" uniqueName="4" name="Dist (km)" queryTableFieldId="8" dataDxfId="2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79" tableType="queryTable" totalsRowShown="0">
  <autoFilter ref="A1:D79" xr:uid="{0EFE13FE-6E98-4201-BD11-DDA2F88CCEFF}"/>
  <tableColumns count="4">
    <tableColumn id="1" xr3:uid="{A089B0E6-E4FA-4607-8E76-31EB6EDB39FC}" uniqueName="1" name="PHC" queryTableFieldId="5" dataDxfId="26"/>
    <tableColumn id="2" xr3:uid="{D5CF211D-ED76-4928-9EB4-9D7061A8FA1C}" uniqueName="2" name="Local_Destino" queryTableFieldId="6" dataDxfId="25"/>
    <tableColumn id="3" xr3:uid="{8C2D25DD-FD88-4C98-8AE5-98B763E98977}" uniqueName="3" name="Qde_Pop" queryTableFieldId="7"/>
    <tableColumn id="4" xr3:uid="{7F369760-F755-4256-9D21-A1B179AC6836}" uniqueName="4" name="Dist (km)" queryTableFieldId="8" dataDxfId="2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30" tableType="queryTable" totalsRowShown="0">
  <autoFilter ref="A1:D30" xr:uid="{862C0F51-C62E-4330-942B-AE0B4D068168}"/>
  <tableColumns count="4">
    <tableColumn id="1" xr3:uid="{5D7632ED-1F10-4E46-9746-1A90A9576CC6}" uniqueName="1" name="SHC" queryTableFieldId="5" dataDxfId="23"/>
    <tableColumn id="2" xr3:uid="{6E3C44D6-2193-4621-A081-85C1CD47F565}" uniqueName="2" name="Local_Destino" queryTableFieldId="6" dataDxfId="22"/>
    <tableColumn id="3" xr3:uid="{0CB27BB1-5B7E-43ED-B93F-C81A3377593A}" uniqueName="3" name="Qde_Pop" queryTableFieldId="7"/>
    <tableColumn id="4" xr3:uid="{11D108AF-EE6B-4CF9-A48B-1E84E479F4FE}" uniqueName="4" name="Dist (km)" queryTableFieldId="8" dataDxfId="21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14" tableType="queryTable" totalsRowShown="0">
  <autoFilter ref="A1:D14" xr:uid="{59C17923-B731-4732-BB9C-E59FB46DB15D}"/>
  <tableColumns count="4">
    <tableColumn id="1" xr3:uid="{F7520ACB-6859-43CD-8D83-061885088C5F}" uniqueName="1" name="Column1" queryTableFieldId="1" dataDxfId="20"/>
    <tableColumn id="2" xr3:uid="{8A29FCA1-385F-4996-A27A-2586725CA265}" uniqueName="2" name="Local_Destino" queryTableFieldId="5" dataDxfId="19"/>
    <tableColumn id="3" xr3:uid="{8543A04A-ED0E-4705-AF19-048909C625D9}" uniqueName="3" name="Qde_Pop" queryTableFieldId="6"/>
    <tableColumn id="4" xr3:uid="{B081B857-C4F4-4FB3-8FC7-6BA676C5D006}" uniqueName="4" name="Dist (km)" queryTableFieldId="7" dataDxfId="1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16" tableType="queryTable" totalsRowShown="0">
  <autoFilter ref="A1:F16" xr:uid="{5BD967F1-8752-460D-B1B3-B8752CE85659}"/>
  <tableColumns count="6">
    <tableColumn id="1" xr3:uid="{D9CECBC1-D944-4ECD-A48B-A226030FEE39}" uniqueName="1" name="PHC" queryTableFieldId="1" dataDxfId="17"/>
    <tableColumn id="2" xr3:uid="{ACB576D0-276A-4F52-82DC-F4A5CF749189}" uniqueName="2" name="Capty" queryTableFieldId="2" dataDxfId="16"/>
    <tableColumn id="3" xr3:uid="{BD143F53-7242-428D-B718-F48E30FCBBD5}" uniqueName="3" name="Exp" queryTableFieldId="3" dataDxfId="15"/>
    <tableColumn id="4" xr3:uid="{6E7C0471-101F-4095-8B44-28517277F9D9}" uniqueName="4" name="TCapty" queryTableFieldId="4" dataDxfId="14"/>
    <tableColumn id="5" xr3:uid="{21A85211-C7F0-41E8-8524-02F55CD81DA7}" uniqueName="5" name="Met" queryTableFieldId="5" dataDxfId="13"/>
    <tableColumn id="7" xr3:uid="{7E724501-FEB8-46C3-BCCB-4DA9613A2C26}" uniqueName="7" name="Use" queryTableFieldId="7" dataDxfId="1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2" tableType="queryTable" totalsRowShown="0">
  <autoFilter ref="A1:D2" xr:uid="{12A6E2BE-7637-4FA8-9DB3-19CFBE301982}"/>
  <tableColumns count="4">
    <tableColumn id="1" xr3:uid="{2C878C14-2517-4050-A8DD-7C486E03374E}" uniqueName="1" name="SHC" queryTableFieldId="5" dataDxfId="11"/>
    <tableColumn id="2" xr3:uid="{CC9E6E55-0299-405A-AF2F-49BED210393B}" uniqueName="2" name="Capty" queryTableFieldId="6" dataDxfId="10"/>
    <tableColumn id="3" xr3:uid="{042F5D57-8BC7-4718-8CC6-8D362CAF1462}" uniqueName="3" name="Met" queryTableFieldId="7" dataDxfId="9"/>
    <tableColumn id="4" xr3:uid="{97473C2D-84AC-4A94-B8A7-BE375503D7AF}" uniqueName="4" name="Use" queryTableFieldId="8" dataDxfId="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2" tableType="queryTable" totalsRowShown="0">
  <autoFilter ref="A1:D2" xr:uid="{47D7E6A7-719A-4B25-A23B-70689E739178}"/>
  <tableColumns count="4">
    <tableColumn id="1" xr3:uid="{9EFCFD3C-6FB0-4FB0-B3D0-D2D7AEF70CED}" uniqueName="1" name="THC" queryTableFieldId="5" dataDxfId="7"/>
    <tableColumn id="2" xr3:uid="{838632D7-C783-4D41-9D58-9F4F851B81B9}" uniqueName="2" name="Capty" queryTableFieldId="6" dataDxfId="6"/>
    <tableColumn id="3" xr3:uid="{1B7C6C57-E24F-4774-944B-8D9B48ADCF75}" uniqueName="3" name="Met" queryTableFieldId="7" dataDxfId="5"/>
    <tableColumn id="4" xr3:uid="{B9C63FCE-E5E9-48EC-BADD-51FE24DE6419}" uniqueName="4" name="Use" queryTableFieldId="8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2"/>
  <sheetViews>
    <sheetView tabSelected="1" zoomScaleNormal="100" workbookViewId="0">
      <selection activeCell="C1" sqref="C1"/>
    </sheetView>
  </sheetViews>
  <sheetFormatPr defaultRowHeight="15" x14ac:dyDescent="0.25"/>
  <cols>
    <col min="1" max="1" width="23.5703125" bestFit="1" customWidth="1"/>
    <col min="2" max="2" width="5.28515625" hidden="1" customWidth="1"/>
    <col min="3" max="3" width="12" bestFit="1" customWidth="1"/>
    <col min="4" max="4" width="11.42578125" bestFit="1" customWidth="1"/>
    <col min="5" max="5" width="12.42578125" bestFit="1" customWidth="1"/>
    <col min="15" max="15" width="12" customWidth="1"/>
  </cols>
  <sheetData>
    <row r="1" spans="1:13" x14ac:dyDescent="0.25">
      <c r="A1" t="s">
        <v>114</v>
      </c>
      <c r="B1" t="s">
        <v>115</v>
      </c>
      <c r="C1" t="s">
        <v>116</v>
      </c>
    </row>
    <row r="2" spans="1:13" x14ac:dyDescent="0.25">
      <c r="A2" t="s">
        <v>1</v>
      </c>
      <c r="B2">
        <v>58536757</v>
      </c>
      <c r="C2" s="4">
        <f>_1_Financeiro[[#This Row],[Values]]/100</f>
        <v>585367.56999999995</v>
      </c>
    </row>
    <row r="3" spans="1:13" x14ac:dyDescent="0.25">
      <c r="A3" t="s">
        <v>2</v>
      </c>
      <c r="B3">
        <v>837911600</v>
      </c>
      <c r="C3" s="4">
        <f>_1_Financeiro[[#This Row],[Values]]/100</f>
        <v>8379116</v>
      </c>
    </row>
    <row r="4" spans="1:13" x14ac:dyDescent="0.25">
      <c r="A4" t="s">
        <v>110</v>
      </c>
      <c r="B4">
        <v>95776800</v>
      </c>
      <c r="C4" s="4">
        <f>_1_Financeiro[[#This Row],[Values]]/100</f>
        <v>957768</v>
      </c>
    </row>
    <row r="5" spans="1:13" x14ac:dyDescent="0.25">
      <c r="A5" t="s">
        <v>3</v>
      </c>
      <c r="B5">
        <v>24740300</v>
      </c>
      <c r="C5" s="4">
        <f>_1_Financeiro[[#This Row],[Values]]/100</f>
        <v>247403</v>
      </c>
    </row>
    <row r="6" spans="1:13" x14ac:dyDescent="0.25">
      <c r="A6" t="s">
        <v>4</v>
      </c>
      <c r="B6">
        <v>611824000</v>
      </c>
      <c r="C6" s="4">
        <f>_1_Financeiro[[#This Row],[Values]]/100</f>
        <v>6118240</v>
      </c>
    </row>
    <row r="7" spans="1:13" x14ac:dyDescent="0.25">
      <c r="A7" t="s">
        <v>5</v>
      </c>
      <c r="B7">
        <v>11890</v>
      </c>
      <c r="C7" s="4">
        <f>_1_Financeiro[[#This Row],[Values]]/100</f>
        <v>118.9</v>
      </c>
    </row>
    <row r="8" spans="1:13" x14ac:dyDescent="0.25">
      <c r="A8" t="s">
        <v>6</v>
      </c>
      <c r="B8">
        <v>54456318</v>
      </c>
      <c r="C8" s="4">
        <f>_1_Financeiro[[#This Row],[Values]]/100</f>
        <v>544563.18000000005</v>
      </c>
      <c r="M8" s="2"/>
    </row>
    <row r="9" spans="1:13" x14ac:dyDescent="0.25">
      <c r="A9" t="s">
        <v>7</v>
      </c>
      <c r="B9">
        <v>1683269555</v>
      </c>
      <c r="C9" s="4">
        <f>_1_Financeiro[[#This Row],[Values]]/100</f>
        <v>16832695.550000001</v>
      </c>
      <c r="M9" s="2"/>
    </row>
    <row r="10" spans="1:13" x14ac:dyDescent="0.25">
      <c r="A10" t="s">
        <v>8</v>
      </c>
      <c r="B10">
        <v>1624732798</v>
      </c>
      <c r="C10" s="5">
        <f>_1_Financeiro[[#This Row],[Values]]/100</f>
        <v>16247327.98</v>
      </c>
      <c r="M10" s="3"/>
    </row>
    <row r="11" spans="1:13" x14ac:dyDescent="0.25">
      <c r="A11" t="s">
        <v>9</v>
      </c>
      <c r="B11">
        <v>1933302953</v>
      </c>
      <c r="C11" s="4">
        <f>_1_Financeiro[[#This Row],[Values]]/100</f>
        <v>19333029.530000001</v>
      </c>
    </row>
    <row r="12" spans="1:13" x14ac:dyDescent="0.25">
      <c r="A12" t="s">
        <v>24</v>
      </c>
      <c r="B12">
        <v>84</v>
      </c>
      <c r="C12" s="4">
        <f>_1_Financeiro[[#This Row],[Values]]/100</f>
        <v>0.84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124</v>
      </c>
      <c r="C2" t="s">
        <v>125</v>
      </c>
      <c r="D2" t="s">
        <v>64</v>
      </c>
    </row>
    <row r="3" spans="1:4" x14ac:dyDescent="0.25">
      <c r="A3" t="s">
        <v>15</v>
      </c>
      <c r="B3" t="s">
        <v>56</v>
      </c>
      <c r="C3" t="s">
        <v>56</v>
      </c>
      <c r="D3" t="s">
        <v>38</v>
      </c>
    </row>
    <row r="4" spans="1:4" x14ac:dyDescent="0.25">
      <c r="A4" t="s">
        <v>55</v>
      </c>
      <c r="B4" t="s">
        <v>56</v>
      </c>
      <c r="C4" t="s">
        <v>56</v>
      </c>
      <c r="D4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4"/>
  <sheetViews>
    <sheetView workbookViewId="0">
      <selection activeCell="A3" sqref="A3"/>
    </sheetView>
  </sheetViews>
  <sheetFormatPr defaultRowHeight="15" x14ac:dyDescent="0.25"/>
  <cols>
    <col min="1" max="1" width="15.28515625" bestFit="1" customWidth="1"/>
    <col min="2" max="2" width="14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  <row r="2" spans="1:5" x14ac:dyDescent="0.25">
      <c r="A2" t="s">
        <v>126</v>
      </c>
      <c r="B2" t="s">
        <v>127</v>
      </c>
      <c r="C2" t="s">
        <v>21</v>
      </c>
      <c r="D2" t="s">
        <v>16</v>
      </c>
      <c r="E2" t="s">
        <v>128</v>
      </c>
    </row>
    <row r="3" spans="1:5" x14ac:dyDescent="0.25">
      <c r="A3" t="s">
        <v>126</v>
      </c>
      <c r="B3" t="s">
        <v>127</v>
      </c>
      <c r="C3" t="s">
        <v>23</v>
      </c>
      <c r="D3" t="s">
        <v>16</v>
      </c>
      <c r="E3" t="s">
        <v>128</v>
      </c>
    </row>
    <row r="4" spans="1:5" x14ac:dyDescent="0.25">
      <c r="A4" t="s">
        <v>129</v>
      </c>
      <c r="B4" t="s">
        <v>127</v>
      </c>
      <c r="C4" t="s">
        <v>37</v>
      </c>
      <c r="D4" t="s">
        <v>16</v>
      </c>
      <c r="E4" t="s">
        <v>130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25"/>
  <sheetViews>
    <sheetView workbookViewId="0">
      <selection activeCell="C2" sqref="C2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s="6" t="s">
        <v>131</v>
      </c>
      <c r="B2" s="6" t="s">
        <v>21</v>
      </c>
      <c r="C2" s="6" t="s">
        <v>16</v>
      </c>
    </row>
    <row r="3" spans="1:3" x14ac:dyDescent="0.25">
      <c r="A3" s="6" t="s">
        <v>131</v>
      </c>
      <c r="B3" s="6" t="s">
        <v>23</v>
      </c>
      <c r="C3" s="6" t="s">
        <v>22</v>
      </c>
    </row>
    <row r="4" spans="1:3" x14ac:dyDescent="0.25">
      <c r="A4" s="6" t="s">
        <v>131</v>
      </c>
      <c r="B4" s="6" t="s">
        <v>90</v>
      </c>
      <c r="C4" s="6" t="s">
        <v>92</v>
      </c>
    </row>
    <row r="5" spans="1:3" x14ac:dyDescent="0.25">
      <c r="A5" s="6" t="s">
        <v>132</v>
      </c>
      <c r="B5" s="6" t="s">
        <v>90</v>
      </c>
      <c r="C5" s="6" t="s">
        <v>91</v>
      </c>
    </row>
    <row r="6" spans="1:3" x14ac:dyDescent="0.25">
      <c r="A6" s="6" t="s">
        <v>133</v>
      </c>
      <c r="B6" s="6" t="s">
        <v>23</v>
      </c>
      <c r="C6" s="6" t="s">
        <v>16</v>
      </c>
    </row>
    <row r="7" spans="1:3" x14ac:dyDescent="0.25">
      <c r="A7" s="6" t="s">
        <v>133</v>
      </c>
      <c r="B7" s="6" t="s">
        <v>90</v>
      </c>
      <c r="C7" s="6" t="s">
        <v>92</v>
      </c>
    </row>
    <row r="8" spans="1:3" x14ac:dyDescent="0.25">
      <c r="A8" s="6" t="s">
        <v>134</v>
      </c>
      <c r="B8" s="6" t="s">
        <v>90</v>
      </c>
      <c r="C8" s="6" t="s">
        <v>60</v>
      </c>
    </row>
    <row r="9" spans="1:3" x14ac:dyDescent="0.25">
      <c r="A9" s="6" t="s">
        <v>135</v>
      </c>
      <c r="B9" s="6" t="s">
        <v>90</v>
      </c>
      <c r="C9" s="6" t="s">
        <v>60</v>
      </c>
    </row>
    <row r="10" spans="1:3" x14ac:dyDescent="0.25">
      <c r="A10" s="6" t="s">
        <v>136</v>
      </c>
      <c r="B10" s="6" t="s">
        <v>23</v>
      </c>
      <c r="C10" s="6" t="s">
        <v>16</v>
      </c>
    </row>
    <row r="11" spans="1:3" x14ac:dyDescent="0.25">
      <c r="A11" s="6" t="s">
        <v>136</v>
      </c>
      <c r="B11" s="6" t="s">
        <v>90</v>
      </c>
      <c r="C11" s="6" t="s">
        <v>92</v>
      </c>
    </row>
    <row r="12" spans="1:3" x14ac:dyDescent="0.25">
      <c r="A12" s="6" t="s">
        <v>137</v>
      </c>
      <c r="B12" s="6" t="s">
        <v>21</v>
      </c>
      <c r="C12" s="6" t="s">
        <v>22</v>
      </c>
    </row>
    <row r="13" spans="1:3" x14ac:dyDescent="0.25">
      <c r="A13" s="6" t="s">
        <v>137</v>
      </c>
      <c r="B13" s="6" t="s">
        <v>23</v>
      </c>
      <c r="C13" s="6" t="s">
        <v>22</v>
      </c>
    </row>
    <row r="14" spans="1:3" x14ac:dyDescent="0.25">
      <c r="A14" s="6" t="s">
        <v>137</v>
      </c>
      <c r="B14" s="6" t="s">
        <v>90</v>
      </c>
      <c r="C14" s="6" t="s">
        <v>119</v>
      </c>
    </row>
    <row r="15" spans="1:3" x14ac:dyDescent="0.25">
      <c r="A15" s="6" t="s">
        <v>138</v>
      </c>
      <c r="B15" s="6" t="s">
        <v>90</v>
      </c>
      <c r="C15" s="6" t="s">
        <v>91</v>
      </c>
    </row>
    <row r="16" spans="1:3" x14ac:dyDescent="0.25">
      <c r="A16" s="6" t="s">
        <v>139</v>
      </c>
      <c r="B16" s="6" t="s">
        <v>90</v>
      </c>
      <c r="C16" s="6" t="s">
        <v>91</v>
      </c>
    </row>
    <row r="17" spans="1:3" x14ac:dyDescent="0.25">
      <c r="A17" s="6" t="s">
        <v>129</v>
      </c>
      <c r="B17" s="6" t="s">
        <v>90</v>
      </c>
      <c r="C17" s="6" t="s">
        <v>91</v>
      </c>
    </row>
    <row r="18" spans="1:3" x14ac:dyDescent="0.25">
      <c r="A18" s="6" t="s">
        <v>140</v>
      </c>
      <c r="B18" s="6" t="s">
        <v>21</v>
      </c>
      <c r="C18" s="6" t="s">
        <v>60</v>
      </c>
    </row>
    <row r="19" spans="1:3" x14ac:dyDescent="0.25">
      <c r="A19" s="6" t="s">
        <v>140</v>
      </c>
      <c r="B19" s="6" t="s">
        <v>23</v>
      </c>
      <c r="C19" s="6" t="s">
        <v>60</v>
      </c>
    </row>
    <row r="20" spans="1:3" x14ac:dyDescent="0.25">
      <c r="A20" s="6" t="s">
        <v>140</v>
      </c>
      <c r="B20" s="6" t="s">
        <v>90</v>
      </c>
      <c r="C20" s="6" t="s">
        <v>119</v>
      </c>
    </row>
    <row r="21" spans="1:3" x14ac:dyDescent="0.25">
      <c r="A21" s="6" t="s">
        <v>126</v>
      </c>
      <c r="B21" s="6" t="s">
        <v>90</v>
      </c>
      <c r="C21" s="6" t="s">
        <v>91</v>
      </c>
    </row>
    <row r="22" spans="1:3" x14ac:dyDescent="0.25">
      <c r="A22" s="6" t="s">
        <v>141</v>
      </c>
      <c r="B22" s="6" t="s">
        <v>90</v>
      </c>
      <c r="C22" s="6" t="s">
        <v>22</v>
      </c>
    </row>
    <row r="23" spans="1:3" x14ac:dyDescent="0.25">
      <c r="A23" s="6" t="s">
        <v>142</v>
      </c>
      <c r="B23" s="6" t="s">
        <v>23</v>
      </c>
      <c r="C23" s="6" t="s">
        <v>16</v>
      </c>
    </row>
    <row r="24" spans="1:3" x14ac:dyDescent="0.25">
      <c r="A24" s="6" t="s">
        <v>142</v>
      </c>
      <c r="B24" s="6" t="s">
        <v>90</v>
      </c>
      <c r="C24" s="6" t="s">
        <v>91</v>
      </c>
    </row>
    <row r="25" spans="1:3" x14ac:dyDescent="0.25">
      <c r="A25" s="6" t="s">
        <v>127</v>
      </c>
      <c r="B25" s="6" t="s">
        <v>90</v>
      </c>
      <c r="C25" s="6" t="s">
        <v>91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61"/>
  <sheetViews>
    <sheetView topLeftCell="A34" zoomScaleNormal="100" workbookViewId="0">
      <selection activeCell="E18" sqref="E18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131</v>
      </c>
      <c r="B2" t="s">
        <v>21</v>
      </c>
      <c r="C2" t="s">
        <v>36</v>
      </c>
      <c r="D2" t="s">
        <v>96</v>
      </c>
      <c r="E2" t="s">
        <v>35</v>
      </c>
      <c r="F2" t="s">
        <v>36</v>
      </c>
      <c r="G2" t="s">
        <v>39</v>
      </c>
      <c r="H2" t="s">
        <v>35</v>
      </c>
      <c r="I2" t="s">
        <v>35</v>
      </c>
    </row>
    <row r="3" spans="1:9" x14ac:dyDescent="0.25">
      <c r="A3" t="s">
        <v>131</v>
      </c>
      <c r="B3" t="s">
        <v>23</v>
      </c>
      <c r="C3" t="s">
        <v>35</v>
      </c>
      <c r="D3" t="s">
        <v>96</v>
      </c>
      <c r="E3" t="s">
        <v>35</v>
      </c>
      <c r="F3" t="s">
        <v>39</v>
      </c>
      <c r="G3" t="s">
        <v>39</v>
      </c>
      <c r="H3" t="s">
        <v>35</v>
      </c>
      <c r="I3" t="s">
        <v>35</v>
      </c>
    </row>
    <row r="4" spans="1:9" x14ac:dyDescent="0.25">
      <c r="A4" t="s">
        <v>131</v>
      </c>
      <c r="B4" t="s">
        <v>37</v>
      </c>
      <c r="C4" t="s">
        <v>35</v>
      </c>
      <c r="D4" t="s">
        <v>59</v>
      </c>
      <c r="E4" t="s">
        <v>35</v>
      </c>
      <c r="F4" t="s">
        <v>35</v>
      </c>
      <c r="G4" t="s">
        <v>35</v>
      </c>
      <c r="H4" t="s">
        <v>35</v>
      </c>
      <c r="I4" t="s">
        <v>65</v>
      </c>
    </row>
    <row r="5" spans="1:9" x14ac:dyDescent="0.25">
      <c r="A5" t="s">
        <v>131</v>
      </c>
      <c r="B5" t="s">
        <v>90</v>
      </c>
      <c r="C5" t="s">
        <v>35</v>
      </c>
      <c r="D5" t="s">
        <v>92</v>
      </c>
      <c r="E5" t="s">
        <v>35</v>
      </c>
      <c r="F5" t="s">
        <v>94</v>
      </c>
      <c r="G5" t="s">
        <v>94</v>
      </c>
      <c r="H5" t="s">
        <v>35</v>
      </c>
      <c r="I5" t="s">
        <v>35</v>
      </c>
    </row>
    <row r="6" spans="1:9" x14ac:dyDescent="0.25">
      <c r="A6" t="s">
        <v>132</v>
      </c>
      <c r="B6" t="s">
        <v>21</v>
      </c>
      <c r="C6" t="s">
        <v>36</v>
      </c>
      <c r="D6" t="s">
        <v>89</v>
      </c>
      <c r="E6" t="s">
        <v>35</v>
      </c>
      <c r="F6" t="s">
        <v>35</v>
      </c>
      <c r="G6" t="s">
        <v>36</v>
      </c>
      <c r="H6" t="s">
        <v>35</v>
      </c>
      <c r="I6" t="s">
        <v>35</v>
      </c>
    </row>
    <row r="7" spans="1:9" x14ac:dyDescent="0.25">
      <c r="A7" t="s">
        <v>132</v>
      </c>
      <c r="B7" t="s">
        <v>23</v>
      </c>
      <c r="C7" t="s">
        <v>36</v>
      </c>
      <c r="D7" t="s">
        <v>89</v>
      </c>
      <c r="E7" t="s">
        <v>35</v>
      </c>
      <c r="F7" t="s">
        <v>35</v>
      </c>
      <c r="G7" t="s">
        <v>36</v>
      </c>
      <c r="H7" t="s">
        <v>35</v>
      </c>
      <c r="I7" t="s">
        <v>35</v>
      </c>
    </row>
    <row r="8" spans="1:9" x14ac:dyDescent="0.25">
      <c r="A8" t="s">
        <v>132</v>
      </c>
      <c r="B8" t="s">
        <v>37</v>
      </c>
      <c r="C8" t="s">
        <v>35</v>
      </c>
      <c r="D8" t="s">
        <v>57</v>
      </c>
      <c r="E8" t="s">
        <v>35</v>
      </c>
      <c r="F8" t="s">
        <v>35</v>
      </c>
      <c r="G8" t="s">
        <v>35</v>
      </c>
      <c r="H8" t="s">
        <v>35</v>
      </c>
      <c r="I8" t="s">
        <v>58</v>
      </c>
    </row>
    <row r="9" spans="1:9" x14ac:dyDescent="0.25">
      <c r="A9" t="s">
        <v>132</v>
      </c>
      <c r="B9" t="s">
        <v>90</v>
      </c>
      <c r="C9" t="s">
        <v>35</v>
      </c>
      <c r="D9" t="s">
        <v>91</v>
      </c>
      <c r="E9" t="s">
        <v>35</v>
      </c>
      <c r="F9" t="s">
        <v>93</v>
      </c>
      <c r="G9" t="s">
        <v>93</v>
      </c>
      <c r="H9" t="s">
        <v>35</v>
      </c>
      <c r="I9" t="s">
        <v>35</v>
      </c>
    </row>
    <row r="10" spans="1:9" x14ac:dyDescent="0.25">
      <c r="A10" t="s">
        <v>133</v>
      </c>
      <c r="B10" t="s">
        <v>21</v>
      </c>
      <c r="C10" t="s">
        <v>39</v>
      </c>
      <c r="D10" t="s">
        <v>95</v>
      </c>
      <c r="E10" t="s">
        <v>35</v>
      </c>
      <c r="F10" t="s">
        <v>35</v>
      </c>
      <c r="G10" t="s">
        <v>39</v>
      </c>
      <c r="H10" t="s">
        <v>143</v>
      </c>
      <c r="I10" t="s">
        <v>35</v>
      </c>
    </row>
    <row r="11" spans="1:9" x14ac:dyDescent="0.25">
      <c r="A11" t="s">
        <v>133</v>
      </c>
      <c r="B11" t="s">
        <v>23</v>
      </c>
      <c r="C11" t="s">
        <v>36</v>
      </c>
      <c r="D11" t="s">
        <v>95</v>
      </c>
      <c r="E11" t="s">
        <v>35</v>
      </c>
      <c r="F11" t="s">
        <v>36</v>
      </c>
      <c r="G11" t="s">
        <v>39</v>
      </c>
      <c r="H11" t="s">
        <v>143</v>
      </c>
      <c r="I11" t="s">
        <v>35</v>
      </c>
    </row>
    <row r="12" spans="1:9" x14ac:dyDescent="0.25">
      <c r="A12" t="s">
        <v>133</v>
      </c>
      <c r="B12" t="s">
        <v>37</v>
      </c>
      <c r="C12" t="s">
        <v>35</v>
      </c>
      <c r="D12" t="s">
        <v>59</v>
      </c>
      <c r="E12" t="s">
        <v>35</v>
      </c>
      <c r="F12" t="s">
        <v>35</v>
      </c>
      <c r="G12" t="s">
        <v>35</v>
      </c>
      <c r="H12" t="s">
        <v>35</v>
      </c>
      <c r="I12" t="s">
        <v>65</v>
      </c>
    </row>
    <row r="13" spans="1:9" x14ac:dyDescent="0.25">
      <c r="A13" t="s">
        <v>133</v>
      </c>
      <c r="B13" t="s">
        <v>90</v>
      </c>
      <c r="C13" t="s">
        <v>35</v>
      </c>
      <c r="D13" t="s">
        <v>92</v>
      </c>
      <c r="E13" t="s">
        <v>35</v>
      </c>
      <c r="F13" t="s">
        <v>94</v>
      </c>
      <c r="G13" t="s">
        <v>94</v>
      </c>
      <c r="H13" t="s">
        <v>35</v>
      </c>
      <c r="I13" t="s">
        <v>35</v>
      </c>
    </row>
    <row r="14" spans="1:9" x14ac:dyDescent="0.25">
      <c r="A14" t="s">
        <v>134</v>
      </c>
      <c r="B14" t="s">
        <v>21</v>
      </c>
      <c r="C14" t="s">
        <v>36</v>
      </c>
      <c r="D14" t="s">
        <v>82</v>
      </c>
      <c r="E14" t="s">
        <v>35</v>
      </c>
      <c r="F14" t="s">
        <v>35</v>
      </c>
      <c r="G14" t="s">
        <v>36</v>
      </c>
      <c r="H14" t="s">
        <v>65</v>
      </c>
      <c r="I14" t="s">
        <v>35</v>
      </c>
    </row>
    <row r="15" spans="1:9" x14ac:dyDescent="0.25">
      <c r="A15" t="s">
        <v>134</v>
      </c>
      <c r="B15" t="s">
        <v>23</v>
      </c>
      <c r="C15" t="s">
        <v>36</v>
      </c>
      <c r="D15" t="s">
        <v>82</v>
      </c>
      <c r="E15" t="s">
        <v>35</v>
      </c>
      <c r="F15" t="s">
        <v>35</v>
      </c>
      <c r="G15" t="s">
        <v>36</v>
      </c>
      <c r="H15" t="s">
        <v>65</v>
      </c>
      <c r="I15" t="s">
        <v>35</v>
      </c>
    </row>
    <row r="16" spans="1:9" x14ac:dyDescent="0.25">
      <c r="A16" t="s">
        <v>134</v>
      </c>
      <c r="B16" t="s">
        <v>37</v>
      </c>
      <c r="C16" t="s">
        <v>35</v>
      </c>
      <c r="D16" t="s">
        <v>144</v>
      </c>
      <c r="E16" t="s">
        <v>35</v>
      </c>
      <c r="F16" t="s">
        <v>35</v>
      </c>
      <c r="G16" t="s">
        <v>35</v>
      </c>
      <c r="H16" t="s">
        <v>35</v>
      </c>
      <c r="I16" t="s">
        <v>58</v>
      </c>
    </row>
    <row r="17" spans="1:9" x14ac:dyDescent="0.25">
      <c r="A17" t="s">
        <v>134</v>
      </c>
      <c r="B17" t="s">
        <v>90</v>
      </c>
      <c r="C17" t="s">
        <v>35</v>
      </c>
      <c r="D17" t="s">
        <v>60</v>
      </c>
      <c r="E17" t="s">
        <v>35</v>
      </c>
      <c r="F17" t="s">
        <v>40</v>
      </c>
      <c r="G17" t="s">
        <v>40</v>
      </c>
      <c r="H17" t="s">
        <v>35</v>
      </c>
      <c r="I17" t="s">
        <v>35</v>
      </c>
    </row>
    <row r="18" spans="1:9" x14ac:dyDescent="0.25">
      <c r="A18" t="s">
        <v>135</v>
      </c>
      <c r="B18" t="s">
        <v>21</v>
      </c>
      <c r="C18" t="s">
        <v>36</v>
      </c>
      <c r="D18" t="s">
        <v>145</v>
      </c>
      <c r="E18" t="s">
        <v>35</v>
      </c>
      <c r="F18" t="s">
        <v>35</v>
      </c>
      <c r="G18" t="s">
        <v>36</v>
      </c>
      <c r="H18" t="s">
        <v>35</v>
      </c>
      <c r="I18" t="s">
        <v>35</v>
      </c>
    </row>
    <row r="19" spans="1:9" x14ac:dyDescent="0.25">
      <c r="A19" t="s">
        <v>135</v>
      </c>
      <c r="B19" t="s">
        <v>23</v>
      </c>
      <c r="C19" t="s">
        <v>36</v>
      </c>
      <c r="D19" t="s">
        <v>145</v>
      </c>
      <c r="E19" t="s">
        <v>35</v>
      </c>
      <c r="F19" t="s">
        <v>35</v>
      </c>
      <c r="G19" t="s">
        <v>36</v>
      </c>
      <c r="H19" t="s">
        <v>35</v>
      </c>
      <c r="I19" t="s">
        <v>35</v>
      </c>
    </row>
    <row r="20" spans="1:9" x14ac:dyDescent="0.25">
      <c r="A20" t="s">
        <v>135</v>
      </c>
      <c r="B20" t="s">
        <v>37</v>
      </c>
      <c r="C20" t="s">
        <v>35</v>
      </c>
      <c r="D20" t="s">
        <v>63</v>
      </c>
      <c r="E20" t="s">
        <v>35</v>
      </c>
      <c r="F20" t="s">
        <v>35</v>
      </c>
      <c r="G20" t="s">
        <v>35</v>
      </c>
      <c r="H20" t="s">
        <v>35</v>
      </c>
      <c r="I20" t="s">
        <v>58</v>
      </c>
    </row>
    <row r="21" spans="1:9" x14ac:dyDescent="0.25">
      <c r="A21" t="s">
        <v>135</v>
      </c>
      <c r="B21" t="s">
        <v>90</v>
      </c>
      <c r="C21" t="s">
        <v>36</v>
      </c>
      <c r="D21" t="s">
        <v>91</v>
      </c>
      <c r="E21" t="s">
        <v>35</v>
      </c>
      <c r="F21" t="s">
        <v>40</v>
      </c>
      <c r="G21" t="s">
        <v>93</v>
      </c>
      <c r="H21" t="s">
        <v>35</v>
      </c>
      <c r="I21" t="s">
        <v>35</v>
      </c>
    </row>
    <row r="22" spans="1:9" x14ac:dyDescent="0.25">
      <c r="A22" t="s">
        <v>136</v>
      </c>
      <c r="B22" t="s">
        <v>21</v>
      </c>
      <c r="C22" t="s">
        <v>39</v>
      </c>
      <c r="D22" t="s">
        <v>146</v>
      </c>
      <c r="E22" t="s">
        <v>35</v>
      </c>
      <c r="F22" t="s">
        <v>35</v>
      </c>
      <c r="G22" t="s">
        <v>39</v>
      </c>
      <c r="H22" t="s">
        <v>35</v>
      </c>
      <c r="I22" t="s">
        <v>35</v>
      </c>
    </row>
    <row r="23" spans="1:9" x14ac:dyDescent="0.25">
      <c r="A23" t="s">
        <v>136</v>
      </c>
      <c r="B23" t="s">
        <v>23</v>
      </c>
      <c r="C23" t="s">
        <v>36</v>
      </c>
      <c r="D23" t="s">
        <v>146</v>
      </c>
      <c r="E23" t="s">
        <v>35</v>
      </c>
      <c r="F23" t="s">
        <v>36</v>
      </c>
      <c r="G23" t="s">
        <v>39</v>
      </c>
      <c r="H23" t="s">
        <v>35</v>
      </c>
      <c r="I23" t="s">
        <v>35</v>
      </c>
    </row>
    <row r="24" spans="1:9" x14ac:dyDescent="0.25">
      <c r="A24" t="s">
        <v>136</v>
      </c>
      <c r="B24" t="s">
        <v>37</v>
      </c>
      <c r="C24" t="s">
        <v>35</v>
      </c>
      <c r="D24" t="s">
        <v>66</v>
      </c>
      <c r="E24" t="s">
        <v>35</v>
      </c>
      <c r="F24" t="s">
        <v>35</v>
      </c>
      <c r="G24" t="s">
        <v>35</v>
      </c>
      <c r="H24" t="s">
        <v>35</v>
      </c>
      <c r="I24" t="s">
        <v>65</v>
      </c>
    </row>
    <row r="25" spans="1:9" x14ac:dyDescent="0.25">
      <c r="A25" t="s">
        <v>136</v>
      </c>
      <c r="B25" t="s">
        <v>90</v>
      </c>
      <c r="C25" t="s">
        <v>35</v>
      </c>
      <c r="D25" t="s">
        <v>92</v>
      </c>
      <c r="E25" t="s">
        <v>35</v>
      </c>
      <c r="F25" t="s">
        <v>94</v>
      </c>
      <c r="G25" t="s">
        <v>94</v>
      </c>
      <c r="H25" t="s">
        <v>35</v>
      </c>
      <c r="I25" t="s">
        <v>35</v>
      </c>
    </row>
    <row r="26" spans="1:9" x14ac:dyDescent="0.25">
      <c r="A26" t="s">
        <v>137</v>
      </c>
      <c r="B26" t="s">
        <v>21</v>
      </c>
      <c r="C26" t="s">
        <v>39</v>
      </c>
      <c r="D26" t="s">
        <v>147</v>
      </c>
      <c r="E26" t="s">
        <v>35</v>
      </c>
      <c r="F26" t="s">
        <v>39</v>
      </c>
      <c r="G26" t="s">
        <v>93</v>
      </c>
      <c r="H26" t="s">
        <v>35</v>
      </c>
      <c r="I26" t="s">
        <v>35</v>
      </c>
    </row>
    <row r="27" spans="1:9" x14ac:dyDescent="0.25">
      <c r="A27" t="s">
        <v>137</v>
      </c>
      <c r="B27" t="s">
        <v>23</v>
      </c>
      <c r="C27" t="s">
        <v>39</v>
      </c>
      <c r="D27" t="s">
        <v>147</v>
      </c>
      <c r="E27" t="s">
        <v>35</v>
      </c>
      <c r="F27" t="s">
        <v>39</v>
      </c>
      <c r="G27" t="s">
        <v>93</v>
      </c>
      <c r="H27" t="s">
        <v>35</v>
      </c>
      <c r="I27" t="s">
        <v>35</v>
      </c>
    </row>
    <row r="28" spans="1:9" x14ac:dyDescent="0.25">
      <c r="A28" t="s">
        <v>137</v>
      </c>
      <c r="B28" t="s">
        <v>37</v>
      </c>
      <c r="C28" t="s">
        <v>36</v>
      </c>
      <c r="D28" t="s">
        <v>70</v>
      </c>
      <c r="E28" t="s">
        <v>35</v>
      </c>
      <c r="F28" t="s">
        <v>35</v>
      </c>
      <c r="G28" t="s">
        <v>36</v>
      </c>
      <c r="H28" t="s">
        <v>118</v>
      </c>
      <c r="I28" t="s">
        <v>35</v>
      </c>
    </row>
    <row r="29" spans="1:9" x14ac:dyDescent="0.25">
      <c r="A29" t="s">
        <v>137</v>
      </c>
      <c r="B29" t="s">
        <v>90</v>
      </c>
      <c r="C29" t="s">
        <v>35</v>
      </c>
      <c r="D29" t="s">
        <v>119</v>
      </c>
      <c r="E29" t="s">
        <v>35</v>
      </c>
      <c r="F29" t="s">
        <v>120</v>
      </c>
      <c r="G29" t="s">
        <v>120</v>
      </c>
      <c r="H29" t="s">
        <v>35</v>
      </c>
      <c r="I29" t="s">
        <v>35</v>
      </c>
    </row>
    <row r="30" spans="1:9" x14ac:dyDescent="0.25">
      <c r="A30" t="s">
        <v>138</v>
      </c>
      <c r="B30" t="s">
        <v>21</v>
      </c>
      <c r="C30" t="s">
        <v>36</v>
      </c>
      <c r="D30" t="s">
        <v>16</v>
      </c>
      <c r="E30" t="s">
        <v>35</v>
      </c>
      <c r="F30" t="s">
        <v>35</v>
      </c>
      <c r="G30" t="s">
        <v>36</v>
      </c>
      <c r="H30" t="s">
        <v>35</v>
      </c>
      <c r="I30" t="s">
        <v>35</v>
      </c>
    </row>
    <row r="31" spans="1:9" x14ac:dyDescent="0.25">
      <c r="A31" t="s">
        <v>138</v>
      </c>
      <c r="B31" t="s">
        <v>23</v>
      </c>
      <c r="C31" t="s">
        <v>36</v>
      </c>
      <c r="D31" t="s">
        <v>16</v>
      </c>
      <c r="E31" t="s">
        <v>35</v>
      </c>
      <c r="F31" t="s">
        <v>35</v>
      </c>
      <c r="G31" t="s">
        <v>36</v>
      </c>
      <c r="H31" t="s">
        <v>35</v>
      </c>
      <c r="I31" t="s">
        <v>35</v>
      </c>
    </row>
    <row r="32" spans="1:9" x14ac:dyDescent="0.25">
      <c r="A32" t="s">
        <v>138</v>
      </c>
      <c r="B32" t="s">
        <v>37</v>
      </c>
      <c r="C32" t="s">
        <v>35</v>
      </c>
      <c r="D32" t="s">
        <v>64</v>
      </c>
      <c r="E32" t="s">
        <v>35</v>
      </c>
      <c r="F32" t="s">
        <v>35</v>
      </c>
      <c r="G32" t="s">
        <v>35</v>
      </c>
      <c r="H32" t="s">
        <v>35</v>
      </c>
      <c r="I32" t="s">
        <v>58</v>
      </c>
    </row>
    <row r="33" spans="1:9" x14ac:dyDescent="0.25">
      <c r="A33" t="s">
        <v>138</v>
      </c>
      <c r="B33" t="s">
        <v>90</v>
      </c>
      <c r="C33" t="s">
        <v>35</v>
      </c>
      <c r="D33" t="s">
        <v>91</v>
      </c>
      <c r="E33" t="s">
        <v>35</v>
      </c>
      <c r="F33" t="s">
        <v>93</v>
      </c>
      <c r="G33" t="s">
        <v>93</v>
      </c>
      <c r="H33" t="s">
        <v>35</v>
      </c>
      <c r="I33" t="s">
        <v>35</v>
      </c>
    </row>
    <row r="34" spans="1:9" x14ac:dyDescent="0.25">
      <c r="A34" t="s">
        <v>139</v>
      </c>
      <c r="B34" t="s">
        <v>21</v>
      </c>
      <c r="C34" t="s">
        <v>36</v>
      </c>
      <c r="D34" t="s">
        <v>16</v>
      </c>
      <c r="E34" t="s">
        <v>35</v>
      </c>
      <c r="F34" t="s">
        <v>35</v>
      </c>
      <c r="G34" t="s">
        <v>36</v>
      </c>
      <c r="H34" t="s">
        <v>35</v>
      </c>
      <c r="I34" t="s">
        <v>35</v>
      </c>
    </row>
    <row r="35" spans="1:9" x14ac:dyDescent="0.25">
      <c r="A35" t="s">
        <v>139</v>
      </c>
      <c r="B35" t="s">
        <v>23</v>
      </c>
      <c r="C35" t="s">
        <v>36</v>
      </c>
      <c r="D35" t="s">
        <v>16</v>
      </c>
      <c r="E35" t="s">
        <v>35</v>
      </c>
      <c r="F35" t="s">
        <v>35</v>
      </c>
      <c r="G35" t="s">
        <v>36</v>
      </c>
      <c r="H35" t="s">
        <v>35</v>
      </c>
      <c r="I35" t="s">
        <v>35</v>
      </c>
    </row>
    <row r="36" spans="1:9" x14ac:dyDescent="0.25">
      <c r="A36" t="s">
        <v>139</v>
      </c>
      <c r="B36" t="s">
        <v>37</v>
      </c>
      <c r="C36" t="s">
        <v>35</v>
      </c>
      <c r="D36" t="s">
        <v>64</v>
      </c>
      <c r="E36" t="s">
        <v>35</v>
      </c>
      <c r="F36" t="s">
        <v>35</v>
      </c>
      <c r="G36" t="s">
        <v>35</v>
      </c>
      <c r="H36" t="s">
        <v>35</v>
      </c>
      <c r="I36" t="s">
        <v>58</v>
      </c>
    </row>
    <row r="37" spans="1:9" x14ac:dyDescent="0.25">
      <c r="A37" t="s">
        <v>139</v>
      </c>
      <c r="B37" t="s">
        <v>90</v>
      </c>
      <c r="C37" t="s">
        <v>35</v>
      </c>
      <c r="D37" t="s">
        <v>91</v>
      </c>
      <c r="E37" t="s">
        <v>35</v>
      </c>
      <c r="F37" t="s">
        <v>93</v>
      </c>
      <c r="G37" t="s">
        <v>93</v>
      </c>
      <c r="H37" t="s">
        <v>35</v>
      </c>
      <c r="I37" t="s">
        <v>35</v>
      </c>
    </row>
    <row r="38" spans="1:9" x14ac:dyDescent="0.25">
      <c r="A38" t="s">
        <v>129</v>
      </c>
      <c r="B38" t="s">
        <v>21</v>
      </c>
      <c r="C38" t="s">
        <v>36</v>
      </c>
      <c r="D38" t="s">
        <v>16</v>
      </c>
      <c r="E38" t="s">
        <v>35</v>
      </c>
      <c r="F38" t="s">
        <v>35</v>
      </c>
      <c r="G38" t="s">
        <v>36</v>
      </c>
      <c r="H38" t="s">
        <v>35</v>
      </c>
      <c r="I38" t="s">
        <v>35</v>
      </c>
    </row>
    <row r="39" spans="1:9" x14ac:dyDescent="0.25">
      <c r="A39" t="s">
        <v>129</v>
      </c>
      <c r="B39" t="s">
        <v>23</v>
      </c>
      <c r="C39" t="s">
        <v>36</v>
      </c>
      <c r="D39" t="s">
        <v>16</v>
      </c>
      <c r="E39" t="s">
        <v>35</v>
      </c>
      <c r="F39" t="s">
        <v>35</v>
      </c>
      <c r="G39" t="s">
        <v>36</v>
      </c>
      <c r="H39" t="s">
        <v>35</v>
      </c>
      <c r="I39" t="s">
        <v>35</v>
      </c>
    </row>
    <row r="40" spans="1:9" x14ac:dyDescent="0.25">
      <c r="A40" t="s">
        <v>129</v>
      </c>
      <c r="B40" t="s">
        <v>37</v>
      </c>
      <c r="C40" t="s">
        <v>36</v>
      </c>
      <c r="D40" t="s">
        <v>64</v>
      </c>
      <c r="E40" t="s">
        <v>41</v>
      </c>
      <c r="F40" t="s">
        <v>35</v>
      </c>
      <c r="G40" t="s">
        <v>35</v>
      </c>
      <c r="H40" t="s">
        <v>35</v>
      </c>
      <c r="I40" t="s">
        <v>58</v>
      </c>
    </row>
    <row r="41" spans="1:9" x14ac:dyDescent="0.25">
      <c r="A41" t="s">
        <v>129</v>
      </c>
      <c r="B41" t="s">
        <v>90</v>
      </c>
      <c r="C41" t="s">
        <v>35</v>
      </c>
      <c r="D41" t="s">
        <v>91</v>
      </c>
      <c r="E41" t="s">
        <v>35</v>
      </c>
      <c r="F41" t="s">
        <v>93</v>
      </c>
      <c r="G41" t="s">
        <v>93</v>
      </c>
      <c r="H41" t="s">
        <v>35</v>
      </c>
      <c r="I41" t="s">
        <v>35</v>
      </c>
    </row>
    <row r="42" spans="1:9" x14ac:dyDescent="0.25">
      <c r="A42" t="s">
        <v>140</v>
      </c>
      <c r="B42" t="s">
        <v>21</v>
      </c>
      <c r="C42" t="s">
        <v>36</v>
      </c>
      <c r="D42" t="s">
        <v>148</v>
      </c>
      <c r="E42" t="s">
        <v>35</v>
      </c>
      <c r="F42" t="s">
        <v>40</v>
      </c>
      <c r="G42" t="s">
        <v>93</v>
      </c>
      <c r="H42" t="s">
        <v>35</v>
      </c>
      <c r="I42" t="s">
        <v>35</v>
      </c>
    </row>
    <row r="43" spans="1:9" x14ac:dyDescent="0.25">
      <c r="A43" t="s">
        <v>140</v>
      </c>
      <c r="B43" t="s">
        <v>23</v>
      </c>
      <c r="C43" t="s">
        <v>36</v>
      </c>
      <c r="D43" t="s">
        <v>148</v>
      </c>
      <c r="E43" t="s">
        <v>35</v>
      </c>
      <c r="F43" t="s">
        <v>40</v>
      </c>
      <c r="G43" t="s">
        <v>93</v>
      </c>
      <c r="H43" t="s">
        <v>35</v>
      </c>
      <c r="I43" t="s">
        <v>35</v>
      </c>
    </row>
    <row r="44" spans="1:9" x14ac:dyDescent="0.25">
      <c r="A44" t="s">
        <v>140</v>
      </c>
      <c r="B44" t="s">
        <v>37</v>
      </c>
      <c r="C44" t="s">
        <v>36</v>
      </c>
      <c r="D44" t="s">
        <v>71</v>
      </c>
      <c r="E44" t="s">
        <v>35</v>
      </c>
      <c r="F44" t="s">
        <v>35</v>
      </c>
      <c r="G44" t="s">
        <v>36</v>
      </c>
      <c r="H44" t="s">
        <v>149</v>
      </c>
      <c r="I44" t="s">
        <v>35</v>
      </c>
    </row>
    <row r="45" spans="1:9" x14ac:dyDescent="0.25">
      <c r="A45" t="s">
        <v>140</v>
      </c>
      <c r="B45" t="s">
        <v>90</v>
      </c>
      <c r="C45" t="s">
        <v>35</v>
      </c>
      <c r="D45" t="s">
        <v>119</v>
      </c>
      <c r="E45" t="s">
        <v>35</v>
      </c>
      <c r="F45" t="s">
        <v>120</v>
      </c>
      <c r="G45" t="s">
        <v>120</v>
      </c>
      <c r="H45" t="s">
        <v>35</v>
      </c>
      <c r="I45" t="s">
        <v>35</v>
      </c>
    </row>
    <row r="46" spans="1:9" x14ac:dyDescent="0.25">
      <c r="A46" t="s">
        <v>126</v>
      </c>
      <c r="B46" t="s">
        <v>21</v>
      </c>
      <c r="C46" t="s">
        <v>39</v>
      </c>
      <c r="D46" t="s">
        <v>145</v>
      </c>
      <c r="E46" t="s">
        <v>41</v>
      </c>
      <c r="F46" t="s">
        <v>35</v>
      </c>
      <c r="G46" t="s">
        <v>36</v>
      </c>
      <c r="H46" t="s">
        <v>35</v>
      </c>
      <c r="I46" t="s">
        <v>35</v>
      </c>
    </row>
    <row r="47" spans="1:9" x14ac:dyDescent="0.25">
      <c r="A47" t="s">
        <v>126</v>
      </c>
      <c r="B47" t="s">
        <v>23</v>
      </c>
      <c r="C47" t="s">
        <v>39</v>
      </c>
      <c r="D47" t="s">
        <v>145</v>
      </c>
      <c r="E47" t="s">
        <v>41</v>
      </c>
      <c r="F47" t="s">
        <v>35</v>
      </c>
      <c r="G47" t="s">
        <v>36</v>
      </c>
      <c r="H47" t="s">
        <v>35</v>
      </c>
      <c r="I47" t="s">
        <v>35</v>
      </c>
    </row>
    <row r="48" spans="1:9" x14ac:dyDescent="0.25">
      <c r="A48" t="s">
        <v>126</v>
      </c>
      <c r="B48" t="s">
        <v>37</v>
      </c>
      <c r="C48" t="s">
        <v>36</v>
      </c>
      <c r="D48" t="s">
        <v>63</v>
      </c>
      <c r="E48" t="s">
        <v>35</v>
      </c>
      <c r="F48" t="s">
        <v>35</v>
      </c>
      <c r="G48" t="s">
        <v>36</v>
      </c>
      <c r="H48" t="s">
        <v>101</v>
      </c>
      <c r="I48" t="s">
        <v>35</v>
      </c>
    </row>
    <row r="49" spans="1:9" x14ac:dyDescent="0.25">
      <c r="A49" t="s">
        <v>126</v>
      </c>
      <c r="B49" t="s">
        <v>90</v>
      </c>
      <c r="C49" t="s">
        <v>35</v>
      </c>
      <c r="D49" t="s">
        <v>91</v>
      </c>
      <c r="E49" t="s">
        <v>35</v>
      </c>
      <c r="F49" t="s">
        <v>93</v>
      </c>
      <c r="G49" t="s">
        <v>93</v>
      </c>
      <c r="H49" t="s">
        <v>35</v>
      </c>
      <c r="I49" t="s">
        <v>35</v>
      </c>
    </row>
    <row r="50" spans="1:9" x14ac:dyDescent="0.25">
      <c r="A50" t="s">
        <v>141</v>
      </c>
      <c r="B50" t="s">
        <v>21</v>
      </c>
      <c r="C50" t="s">
        <v>36</v>
      </c>
      <c r="D50" t="s">
        <v>17</v>
      </c>
      <c r="E50" t="s">
        <v>35</v>
      </c>
      <c r="F50" t="s">
        <v>35</v>
      </c>
      <c r="G50" t="s">
        <v>36</v>
      </c>
      <c r="H50" t="s">
        <v>149</v>
      </c>
      <c r="I50" t="s">
        <v>35</v>
      </c>
    </row>
    <row r="51" spans="1:9" x14ac:dyDescent="0.25">
      <c r="A51" t="s">
        <v>141</v>
      </c>
      <c r="B51" t="s">
        <v>23</v>
      </c>
      <c r="C51" t="s">
        <v>35</v>
      </c>
      <c r="D51" t="s">
        <v>17</v>
      </c>
      <c r="E51" t="s">
        <v>35</v>
      </c>
      <c r="F51" t="s">
        <v>35</v>
      </c>
      <c r="G51" t="s">
        <v>35</v>
      </c>
      <c r="H51" t="s">
        <v>35</v>
      </c>
      <c r="I51" t="s">
        <v>149</v>
      </c>
    </row>
    <row r="52" spans="1:9" x14ac:dyDescent="0.25">
      <c r="A52" t="s">
        <v>141</v>
      </c>
      <c r="B52" t="s">
        <v>37</v>
      </c>
      <c r="C52" t="s">
        <v>35</v>
      </c>
      <c r="D52" t="s">
        <v>150</v>
      </c>
      <c r="E52" t="s">
        <v>35</v>
      </c>
      <c r="F52" t="s">
        <v>35</v>
      </c>
      <c r="G52" t="s">
        <v>35</v>
      </c>
      <c r="H52" t="s">
        <v>35</v>
      </c>
      <c r="I52" t="s">
        <v>58</v>
      </c>
    </row>
    <row r="53" spans="1:9" x14ac:dyDescent="0.25">
      <c r="A53" t="s">
        <v>141</v>
      </c>
      <c r="B53" t="s">
        <v>90</v>
      </c>
      <c r="C53" t="s">
        <v>35</v>
      </c>
      <c r="D53" t="s">
        <v>22</v>
      </c>
      <c r="E53" t="s">
        <v>35</v>
      </c>
      <c r="F53" t="s">
        <v>39</v>
      </c>
      <c r="G53" t="s">
        <v>39</v>
      </c>
      <c r="H53" t="s">
        <v>35</v>
      </c>
      <c r="I53" t="s">
        <v>35</v>
      </c>
    </row>
    <row r="54" spans="1:9" x14ac:dyDescent="0.25">
      <c r="A54" t="s">
        <v>142</v>
      </c>
      <c r="B54" t="s">
        <v>21</v>
      </c>
      <c r="C54" t="s">
        <v>36</v>
      </c>
      <c r="D54" t="s">
        <v>16</v>
      </c>
      <c r="E54" t="s">
        <v>35</v>
      </c>
      <c r="F54" t="s">
        <v>35</v>
      </c>
      <c r="G54" t="s">
        <v>36</v>
      </c>
      <c r="H54" t="s">
        <v>35</v>
      </c>
      <c r="I54" t="s">
        <v>35</v>
      </c>
    </row>
    <row r="55" spans="1:9" x14ac:dyDescent="0.25">
      <c r="A55" t="s">
        <v>142</v>
      </c>
      <c r="B55" t="s">
        <v>23</v>
      </c>
      <c r="C55" t="s">
        <v>35</v>
      </c>
      <c r="D55" t="s">
        <v>16</v>
      </c>
      <c r="E55" t="s">
        <v>35</v>
      </c>
      <c r="F55" t="s">
        <v>36</v>
      </c>
      <c r="G55" t="s">
        <v>36</v>
      </c>
      <c r="H55" t="s">
        <v>35</v>
      </c>
      <c r="I55" t="s">
        <v>35</v>
      </c>
    </row>
    <row r="56" spans="1:9" x14ac:dyDescent="0.25">
      <c r="A56" t="s">
        <v>142</v>
      </c>
      <c r="B56" t="s">
        <v>37</v>
      </c>
      <c r="C56" t="s">
        <v>35</v>
      </c>
      <c r="D56" t="s">
        <v>64</v>
      </c>
      <c r="E56" t="s">
        <v>35</v>
      </c>
      <c r="F56" t="s">
        <v>35</v>
      </c>
      <c r="G56" t="s">
        <v>35</v>
      </c>
      <c r="H56" t="s">
        <v>35</v>
      </c>
      <c r="I56" t="s">
        <v>58</v>
      </c>
    </row>
    <row r="57" spans="1:9" x14ac:dyDescent="0.25">
      <c r="A57" t="s">
        <v>142</v>
      </c>
      <c r="B57" t="s">
        <v>90</v>
      </c>
      <c r="C57" t="s">
        <v>35</v>
      </c>
      <c r="D57" t="s">
        <v>91</v>
      </c>
      <c r="E57" t="s">
        <v>35</v>
      </c>
      <c r="F57" t="s">
        <v>93</v>
      </c>
      <c r="G57" t="s">
        <v>93</v>
      </c>
      <c r="H57" t="s">
        <v>35</v>
      </c>
      <c r="I57" t="s">
        <v>35</v>
      </c>
    </row>
    <row r="58" spans="1:9" x14ac:dyDescent="0.25">
      <c r="A58" t="s">
        <v>127</v>
      </c>
      <c r="B58" t="s">
        <v>21</v>
      </c>
      <c r="C58" t="s">
        <v>35</v>
      </c>
      <c r="D58" t="s">
        <v>16</v>
      </c>
      <c r="E58" t="s">
        <v>36</v>
      </c>
      <c r="F58" t="s">
        <v>35</v>
      </c>
      <c r="G58" t="s">
        <v>36</v>
      </c>
      <c r="H58" t="s">
        <v>35</v>
      </c>
      <c r="I58" t="s">
        <v>35</v>
      </c>
    </row>
    <row r="59" spans="1:9" x14ac:dyDescent="0.25">
      <c r="A59" t="s">
        <v>127</v>
      </c>
      <c r="B59" t="s">
        <v>23</v>
      </c>
      <c r="C59" t="s">
        <v>35</v>
      </c>
      <c r="D59" t="s">
        <v>16</v>
      </c>
      <c r="E59" t="s">
        <v>36</v>
      </c>
      <c r="F59" t="s">
        <v>35</v>
      </c>
      <c r="G59" t="s">
        <v>36</v>
      </c>
      <c r="H59" t="s">
        <v>35</v>
      </c>
      <c r="I59" t="s">
        <v>35</v>
      </c>
    </row>
    <row r="60" spans="1:9" x14ac:dyDescent="0.25">
      <c r="A60" t="s">
        <v>127</v>
      </c>
      <c r="B60" t="s">
        <v>37</v>
      </c>
      <c r="C60" t="s">
        <v>35</v>
      </c>
      <c r="D60" t="s">
        <v>64</v>
      </c>
      <c r="E60" t="s">
        <v>36</v>
      </c>
      <c r="F60" t="s">
        <v>35</v>
      </c>
      <c r="G60" t="s">
        <v>36</v>
      </c>
      <c r="H60" t="s">
        <v>101</v>
      </c>
      <c r="I60" t="s">
        <v>35</v>
      </c>
    </row>
    <row r="61" spans="1:9" x14ac:dyDescent="0.25">
      <c r="A61" t="s">
        <v>127</v>
      </c>
      <c r="B61" t="s">
        <v>90</v>
      </c>
      <c r="C61" t="s">
        <v>35</v>
      </c>
      <c r="D61" t="s">
        <v>91</v>
      </c>
      <c r="E61" t="s">
        <v>35</v>
      </c>
      <c r="F61" t="s">
        <v>93</v>
      </c>
      <c r="G61" t="s">
        <v>93</v>
      </c>
      <c r="H61" t="s">
        <v>35</v>
      </c>
      <c r="I61" t="s">
        <v>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"/>
  <sheetViews>
    <sheetView workbookViewId="0">
      <selection activeCell="C2" sqref="C2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42</v>
      </c>
      <c r="B2" t="s">
        <v>75</v>
      </c>
      <c r="C2" t="s">
        <v>76</v>
      </c>
      <c r="D2" t="s">
        <v>151</v>
      </c>
      <c r="E2" t="s">
        <v>35</v>
      </c>
      <c r="F2" t="s">
        <v>35</v>
      </c>
      <c r="G2" t="s">
        <v>76</v>
      </c>
      <c r="H2" t="s">
        <v>152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"/>
  <sheetViews>
    <sheetView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25</v>
      </c>
      <c r="B2" t="s">
        <v>78</v>
      </c>
      <c r="C2" t="s">
        <v>76</v>
      </c>
      <c r="D2" t="s">
        <v>105</v>
      </c>
      <c r="E2" t="s">
        <v>35</v>
      </c>
      <c r="F2" t="s">
        <v>35</v>
      </c>
      <c r="G2" t="s">
        <v>76</v>
      </c>
      <c r="H2" t="s">
        <v>94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162"/>
  <sheetViews>
    <sheetView workbookViewId="0">
      <selection activeCell="C1" sqref="C1"/>
    </sheetView>
  </sheetViews>
  <sheetFormatPr defaultRowHeight="15" x14ac:dyDescent="0.25"/>
  <cols>
    <col min="1" max="2" width="18.8554687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111</v>
      </c>
      <c r="B1" t="s">
        <v>112</v>
      </c>
      <c r="C1" t="s">
        <v>113</v>
      </c>
      <c r="D1" t="s">
        <v>62</v>
      </c>
    </row>
    <row r="2" spans="1:4" x14ac:dyDescent="0.25">
      <c r="A2" t="s">
        <v>153</v>
      </c>
      <c r="B2" t="s">
        <v>43</v>
      </c>
      <c r="C2">
        <v>184</v>
      </c>
      <c r="D2" t="s">
        <v>62</v>
      </c>
    </row>
    <row r="3" spans="1:4" x14ac:dyDescent="0.25">
      <c r="A3" t="s">
        <v>44</v>
      </c>
      <c r="B3" t="s">
        <v>154</v>
      </c>
      <c r="C3">
        <v>175</v>
      </c>
      <c r="D3" t="s">
        <v>102</v>
      </c>
    </row>
    <row r="4" spans="1:4" x14ac:dyDescent="0.25">
      <c r="A4" t="s">
        <v>44</v>
      </c>
      <c r="B4" t="s">
        <v>155</v>
      </c>
      <c r="C4">
        <v>8</v>
      </c>
      <c r="D4" t="s">
        <v>43</v>
      </c>
    </row>
    <row r="5" spans="1:4" x14ac:dyDescent="0.25">
      <c r="A5" t="s">
        <v>156</v>
      </c>
      <c r="B5" t="s">
        <v>43</v>
      </c>
      <c r="C5">
        <v>2881</v>
      </c>
      <c r="D5" t="s">
        <v>62</v>
      </c>
    </row>
    <row r="6" spans="1:4" x14ac:dyDescent="0.25">
      <c r="A6" t="s">
        <v>44</v>
      </c>
      <c r="B6" t="s">
        <v>157</v>
      </c>
      <c r="C6">
        <v>2500</v>
      </c>
      <c r="D6" t="s">
        <v>38</v>
      </c>
    </row>
    <row r="7" spans="1:4" x14ac:dyDescent="0.25">
      <c r="A7" t="s">
        <v>44</v>
      </c>
      <c r="B7" t="s">
        <v>53</v>
      </c>
      <c r="C7">
        <v>362</v>
      </c>
      <c r="D7" t="s">
        <v>79</v>
      </c>
    </row>
    <row r="8" spans="1:4" x14ac:dyDescent="0.25">
      <c r="A8" t="s">
        <v>44</v>
      </c>
      <c r="B8" t="s">
        <v>67</v>
      </c>
      <c r="C8">
        <v>18</v>
      </c>
      <c r="D8" t="s">
        <v>43</v>
      </c>
    </row>
    <row r="9" spans="1:4" x14ac:dyDescent="0.25">
      <c r="A9" t="s">
        <v>158</v>
      </c>
      <c r="B9" t="s">
        <v>43</v>
      </c>
      <c r="C9">
        <v>502</v>
      </c>
      <c r="D9" t="s">
        <v>62</v>
      </c>
    </row>
    <row r="10" spans="1:4" x14ac:dyDescent="0.25">
      <c r="A10" t="s">
        <v>44</v>
      </c>
      <c r="B10" t="s">
        <v>159</v>
      </c>
      <c r="C10">
        <v>402</v>
      </c>
      <c r="D10" t="s">
        <v>81</v>
      </c>
    </row>
    <row r="11" spans="1:4" x14ac:dyDescent="0.25">
      <c r="A11" t="s">
        <v>44</v>
      </c>
      <c r="B11" t="s">
        <v>160</v>
      </c>
      <c r="C11">
        <v>20</v>
      </c>
      <c r="D11" t="s">
        <v>43</v>
      </c>
    </row>
    <row r="12" spans="1:4" x14ac:dyDescent="0.25">
      <c r="A12" t="s">
        <v>44</v>
      </c>
      <c r="B12" t="s">
        <v>53</v>
      </c>
      <c r="C12">
        <v>75</v>
      </c>
      <c r="D12" t="s">
        <v>79</v>
      </c>
    </row>
    <row r="13" spans="1:4" x14ac:dyDescent="0.25">
      <c r="A13" t="s">
        <v>44</v>
      </c>
      <c r="B13" t="s">
        <v>67</v>
      </c>
      <c r="C13">
        <v>3</v>
      </c>
      <c r="D13" t="s">
        <v>43</v>
      </c>
    </row>
    <row r="14" spans="1:4" x14ac:dyDescent="0.25">
      <c r="A14" t="s">
        <v>161</v>
      </c>
      <c r="B14" t="s">
        <v>43</v>
      </c>
      <c r="C14">
        <v>1963</v>
      </c>
      <c r="D14" t="s">
        <v>62</v>
      </c>
    </row>
    <row r="15" spans="1:4" x14ac:dyDescent="0.25">
      <c r="A15" t="s">
        <v>44</v>
      </c>
      <c r="B15" t="s">
        <v>162</v>
      </c>
      <c r="C15">
        <v>1963</v>
      </c>
      <c r="D15" t="s">
        <v>38</v>
      </c>
    </row>
    <row r="16" spans="1:4" x14ac:dyDescent="0.25">
      <c r="A16" t="s">
        <v>163</v>
      </c>
      <c r="B16" t="s">
        <v>43</v>
      </c>
      <c r="C16">
        <v>1867</v>
      </c>
      <c r="D16" t="s">
        <v>62</v>
      </c>
    </row>
    <row r="17" spans="1:4" x14ac:dyDescent="0.25">
      <c r="A17" t="s">
        <v>44</v>
      </c>
      <c r="B17" t="s">
        <v>154</v>
      </c>
      <c r="C17">
        <v>1778</v>
      </c>
      <c r="D17" t="s">
        <v>164</v>
      </c>
    </row>
    <row r="18" spans="1:4" x14ac:dyDescent="0.25">
      <c r="A18" t="s">
        <v>44</v>
      </c>
      <c r="B18" t="s">
        <v>155</v>
      </c>
      <c r="C18">
        <v>88</v>
      </c>
      <c r="D18" t="s">
        <v>43</v>
      </c>
    </row>
    <row r="19" spans="1:4" x14ac:dyDescent="0.25">
      <c r="A19" t="s">
        <v>165</v>
      </c>
      <c r="B19" t="s">
        <v>43</v>
      </c>
      <c r="C19">
        <v>2978</v>
      </c>
      <c r="D19" t="s">
        <v>62</v>
      </c>
    </row>
    <row r="20" spans="1:4" x14ac:dyDescent="0.25">
      <c r="A20" t="s">
        <v>44</v>
      </c>
      <c r="B20" t="s">
        <v>154</v>
      </c>
      <c r="C20">
        <v>2978</v>
      </c>
      <c r="D20" t="s">
        <v>38</v>
      </c>
    </row>
    <row r="21" spans="1:4" x14ac:dyDescent="0.25">
      <c r="A21" t="s">
        <v>166</v>
      </c>
      <c r="B21" t="s">
        <v>43</v>
      </c>
      <c r="C21">
        <v>2887</v>
      </c>
      <c r="D21" t="s">
        <v>62</v>
      </c>
    </row>
    <row r="22" spans="1:4" x14ac:dyDescent="0.25">
      <c r="A22" t="s">
        <v>44</v>
      </c>
      <c r="B22" t="s">
        <v>167</v>
      </c>
      <c r="C22">
        <v>1023</v>
      </c>
      <c r="D22" t="s">
        <v>38</v>
      </c>
    </row>
    <row r="23" spans="1:4" x14ac:dyDescent="0.25">
      <c r="A23" t="s">
        <v>44</v>
      </c>
      <c r="B23" t="s">
        <v>168</v>
      </c>
      <c r="C23">
        <v>1863</v>
      </c>
      <c r="D23" t="s">
        <v>38</v>
      </c>
    </row>
    <row r="24" spans="1:4" x14ac:dyDescent="0.25">
      <c r="A24" t="s">
        <v>169</v>
      </c>
      <c r="B24" t="s">
        <v>43</v>
      </c>
      <c r="C24">
        <v>2608</v>
      </c>
      <c r="D24" t="s">
        <v>62</v>
      </c>
    </row>
    <row r="25" spans="1:4" x14ac:dyDescent="0.25">
      <c r="A25" t="s">
        <v>44</v>
      </c>
      <c r="B25" t="s">
        <v>170</v>
      </c>
      <c r="C25">
        <v>2483</v>
      </c>
      <c r="D25" t="s">
        <v>77</v>
      </c>
    </row>
    <row r="26" spans="1:4" x14ac:dyDescent="0.25">
      <c r="A26" t="s">
        <v>44</v>
      </c>
      <c r="B26" t="s">
        <v>171</v>
      </c>
      <c r="C26">
        <v>124</v>
      </c>
      <c r="D26" t="s">
        <v>43</v>
      </c>
    </row>
    <row r="27" spans="1:4" x14ac:dyDescent="0.25">
      <c r="A27" t="s">
        <v>172</v>
      </c>
      <c r="B27" t="s">
        <v>43</v>
      </c>
      <c r="C27">
        <v>2715</v>
      </c>
      <c r="D27" t="s">
        <v>62</v>
      </c>
    </row>
    <row r="28" spans="1:4" x14ac:dyDescent="0.25">
      <c r="A28" t="s">
        <v>44</v>
      </c>
      <c r="B28" t="s">
        <v>173</v>
      </c>
      <c r="C28">
        <v>2500</v>
      </c>
      <c r="D28" t="s">
        <v>38</v>
      </c>
    </row>
    <row r="29" spans="1:4" x14ac:dyDescent="0.25">
      <c r="A29" t="s">
        <v>44</v>
      </c>
      <c r="B29" t="s">
        <v>53</v>
      </c>
      <c r="C29">
        <v>204</v>
      </c>
      <c r="D29" t="s">
        <v>79</v>
      </c>
    </row>
    <row r="30" spans="1:4" x14ac:dyDescent="0.25">
      <c r="A30" t="s">
        <v>44</v>
      </c>
      <c r="B30" t="s">
        <v>67</v>
      </c>
      <c r="C30">
        <v>10</v>
      </c>
      <c r="D30" t="s">
        <v>43</v>
      </c>
    </row>
    <row r="31" spans="1:4" x14ac:dyDescent="0.25">
      <c r="A31" t="s">
        <v>174</v>
      </c>
      <c r="B31" t="s">
        <v>43</v>
      </c>
      <c r="C31">
        <v>450</v>
      </c>
      <c r="D31" t="s">
        <v>62</v>
      </c>
    </row>
    <row r="32" spans="1:4" x14ac:dyDescent="0.25">
      <c r="A32" t="s">
        <v>44</v>
      </c>
      <c r="B32" t="s">
        <v>154</v>
      </c>
      <c r="C32">
        <v>428</v>
      </c>
      <c r="D32" t="s">
        <v>175</v>
      </c>
    </row>
    <row r="33" spans="1:4" x14ac:dyDescent="0.25">
      <c r="A33" t="s">
        <v>44</v>
      </c>
      <c r="B33" t="s">
        <v>155</v>
      </c>
      <c r="C33">
        <v>21</v>
      </c>
      <c r="D33" t="s">
        <v>43</v>
      </c>
    </row>
    <row r="34" spans="1:4" x14ac:dyDescent="0.25">
      <c r="A34" t="s">
        <v>176</v>
      </c>
      <c r="B34" t="s">
        <v>43</v>
      </c>
      <c r="C34">
        <v>2704</v>
      </c>
      <c r="D34" t="s">
        <v>62</v>
      </c>
    </row>
    <row r="35" spans="1:4" x14ac:dyDescent="0.25">
      <c r="A35" t="s">
        <v>44</v>
      </c>
      <c r="B35" t="s">
        <v>170</v>
      </c>
      <c r="C35">
        <v>479</v>
      </c>
      <c r="D35" t="s">
        <v>177</v>
      </c>
    </row>
    <row r="36" spans="1:4" x14ac:dyDescent="0.25">
      <c r="A36" t="s">
        <v>44</v>
      </c>
      <c r="B36" t="s">
        <v>178</v>
      </c>
      <c r="C36">
        <v>1690</v>
      </c>
      <c r="D36" t="s">
        <v>177</v>
      </c>
    </row>
    <row r="37" spans="1:4" x14ac:dyDescent="0.25">
      <c r="A37" t="s">
        <v>44</v>
      </c>
      <c r="B37" t="s">
        <v>171</v>
      </c>
      <c r="C37">
        <v>23</v>
      </c>
      <c r="D37" t="s">
        <v>43</v>
      </c>
    </row>
    <row r="38" spans="1:4" x14ac:dyDescent="0.25">
      <c r="A38" t="s">
        <v>44</v>
      </c>
      <c r="B38" t="s">
        <v>179</v>
      </c>
      <c r="C38">
        <v>84</v>
      </c>
      <c r="D38" t="s">
        <v>43</v>
      </c>
    </row>
    <row r="39" spans="1:4" x14ac:dyDescent="0.25">
      <c r="A39" t="s">
        <v>44</v>
      </c>
      <c r="B39" t="s">
        <v>53</v>
      </c>
      <c r="C39">
        <v>405</v>
      </c>
      <c r="D39" t="s">
        <v>79</v>
      </c>
    </row>
    <row r="40" spans="1:4" x14ac:dyDescent="0.25">
      <c r="A40" t="s">
        <v>44</v>
      </c>
      <c r="B40" t="s">
        <v>67</v>
      </c>
      <c r="C40">
        <v>20</v>
      </c>
      <c r="D40" t="s">
        <v>43</v>
      </c>
    </row>
    <row r="41" spans="1:4" x14ac:dyDescent="0.25">
      <c r="A41" t="s">
        <v>180</v>
      </c>
      <c r="B41" t="s">
        <v>43</v>
      </c>
      <c r="C41">
        <v>2648</v>
      </c>
      <c r="D41" t="s">
        <v>62</v>
      </c>
    </row>
    <row r="42" spans="1:4" x14ac:dyDescent="0.25">
      <c r="A42" t="s">
        <v>44</v>
      </c>
      <c r="B42" t="s">
        <v>181</v>
      </c>
      <c r="C42">
        <v>2630</v>
      </c>
      <c r="D42" t="s">
        <v>38</v>
      </c>
    </row>
    <row r="43" spans="1:4" x14ac:dyDescent="0.25">
      <c r="A43" t="s">
        <v>44</v>
      </c>
      <c r="B43" t="s">
        <v>53</v>
      </c>
      <c r="C43">
        <v>16</v>
      </c>
      <c r="D43" t="s">
        <v>79</v>
      </c>
    </row>
    <row r="44" spans="1:4" x14ac:dyDescent="0.25">
      <c r="A44" t="s">
        <v>44</v>
      </c>
      <c r="B44" t="s">
        <v>67</v>
      </c>
      <c r="C44">
        <v>0</v>
      </c>
      <c r="D44" t="s">
        <v>43</v>
      </c>
    </row>
    <row r="45" spans="1:4" x14ac:dyDescent="0.25">
      <c r="A45" t="s">
        <v>182</v>
      </c>
      <c r="B45" t="s">
        <v>43</v>
      </c>
      <c r="C45">
        <v>470</v>
      </c>
      <c r="D45" t="s">
        <v>62</v>
      </c>
    </row>
    <row r="46" spans="1:4" x14ac:dyDescent="0.25">
      <c r="A46" t="s">
        <v>44</v>
      </c>
      <c r="B46" t="s">
        <v>181</v>
      </c>
      <c r="C46">
        <v>377</v>
      </c>
      <c r="D46" t="s">
        <v>72</v>
      </c>
    </row>
    <row r="47" spans="1:4" x14ac:dyDescent="0.25">
      <c r="A47" t="s">
        <v>44</v>
      </c>
      <c r="B47" t="s">
        <v>183</v>
      </c>
      <c r="C47">
        <v>18</v>
      </c>
      <c r="D47" t="s">
        <v>43</v>
      </c>
    </row>
    <row r="48" spans="1:4" x14ac:dyDescent="0.25">
      <c r="A48" t="s">
        <v>44</v>
      </c>
      <c r="B48" t="s">
        <v>53</v>
      </c>
      <c r="C48">
        <v>70</v>
      </c>
      <c r="D48" t="s">
        <v>79</v>
      </c>
    </row>
    <row r="49" spans="1:4" x14ac:dyDescent="0.25">
      <c r="A49" t="s">
        <v>44</v>
      </c>
      <c r="B49" t="s">
        <v>67</v>
      </c>
      <c r="C49">
        <v>3</v>
      </c>
      <c r="D49" t="s">
        <v>43</v>
      </c>
    </row>
    <row r="50" spans="1:4" x14ac:dyDescent="0.25">
      <c r="A50" t="s">
        <v>184</v>
      </c>
      <c r="B50" t="s">
        <v>43</v>
      </c>
      <c r="C50">
        <v>2593</v>
      </c>
      <c r="D50" t="s">
        <v>62</v>
      </c>
    </row>
    <row r="51" spans="1:4" x14ac:dyDescent="0.25">
      <c r="A51" t="s">
        <v>44</v>
      </c>
      <c r="B51" t="s">
        <v>162</v>
      </c>
      <c r="C51">
        <v>2149</v>
      </c>
      <c r="D51" t="s">
        <v>103</v>
      </c>
    </row>
    <row r="52" spans="1:4" x14ac:dyDescent="0.25">
      <c r="A52" t="s">
        <v>44</v>
      </c>
      <c r="B52" t="s">
        <v>185</v>
      </c>
      <c r="C52">
        <v>107</v>
      </c>
      <c r="D52" t="s">
        <v>43</v>
      </c>
    </row>
    <row r="53" spans="1:4" x14ac:dyDescent="0.25">
      <c r="A53" t="s">
        <v>44</v>
      </c>
      <c r="B53" t="s">
        <v>53</v>
      </c>
      <c r="C53">
        <v>319</v>
      </c>
      <c r="D53" t="s">
        <v>79</v>
      </c>
    </row>
    <row r="54" spans="1:4" x14ac:dyDescent="0.25">
      <c r="A54" t="s">
        <v>44</v>
      </c>
      <c r="B54" t="s">
        <v>67</v>
      </c>
      <c r="C54">
        <v>15</v>
      </c>
      <c r="D54" t="s">
        <v>43</v>
      </c>
    </row>
    <row r="55" spans="1:4" x14ac:dyDescent="0.25">
      <c r="A55" t="s">
        <v>186</v>
      </c>
      <c r="B55" t="s">
        <v>43</v>
      </c>
      <c r="C55">
        <v>2641</v>
      </c>
      <c r="D55" t="s">
        <v>62</v>
      </c>
    </row>
    <row r="56" spans="1:4" x14ac:dyDescent="0.25">
      <c r="A56" t="s">
        <v>44</v>
      </c>
      <c r="B56" t="s">
        <v>187</v>
      </c>
      <c r="C56">
        <v>2500</v>
      </c>
      <c r="D56" t="s">
        <v>38</v>
      </c>
    </row>
    <row r="57" spans="1:4" x14ac:dyDescent="0.25">
      <c r="A57" t="s">
        <v>44</v>
      </c>
      <c r="B57" t="s">
        <v>53</v>
      </c>
      <c r="C57">
        <v>134</v>
      </c>
      <c r="D57" t="s">
        <v>79</v>
      </c>
    </row>
    <row r="58" spans="1:4" x14ac:dyDescent="0.25">
      <c r="A58" t="s">
        <v>44</v>
      </c>
      <c r="B58" t="s">
        <v>67</v>
      </c>
      <c r="C58">
        <v>6</v>
      </c>
      <c r="D58" t="s">
        <v>43</v>
      </c>
    </row>
    <row r="59" spans="1:4" x14ac:dyDescent="0.25">
      <c r="A59" t="s">
        <v>188</v>
      </c>
      <c r="B59" t="s">
        <v>43</v>
      </c>
      <c r="C59">
        <v>1106</v>
      </c>
      <c r="D59" t="s">
        <v>62</v>
      </c>
    </row>
    <row r="60" spans="1:4" x14ac:dyDescent="0.25">
      <c r="A60" t="s">
        <v>44</v>
      </c>
      <c r="B60" t="s">
        <v>189</v>
      </c>
      <c r="C60">
        <v>1106</v>
      </c>
      <c r="D60" t="s">
        <v>38</v>
      </c>
    </row>
    <row r="61" spans="1:4" x14ac:dyDescent="0.25">
      <c r="A61" t="s">
        <v>190</v>
      </c>
      <c r="B61" t="s">
        <v>43</v>
      </c>
      <c r="C61">
        <v>773</v>
      </c>
      <c r="D61" t="s">
        <v>62</v>
      </c>
    </row>
    <row r="62" spans="1:4" x14ac:dyDescent="0.25">
      <c r="A62" t="s">
        <v>44</v>
      </c>
      <c r="B62" t="s">
        <v>154</v>
      </c>
      <c r="C62">
        <v>736</v>
      </c>
      <c r="D62" t="s">
        <v>191</v>
      </c>
    </row>
    <row r="63" spans="1:4" x14ac:dyDescent="0.25">
      <c r="A63" t="s">
        <v>44</v>
      </c>
      <c r="B63" t="s">
        <v>155</v>
      </c>
      <c r="C63">
        <v>36</v>
      </c>
      <c r="D63" t="s">
        <v>43</v>
      </c>
    </row>
    <row r="64" spans="1:4" x14ac:dyDescent="0.25">
      <c r="A64" t="s">
        <v>192</v>
      </c>
      <c r="B64" t="s">
        <v>43</v>
      </c>
      <c r="C64">
        <v>425</v>
      </c>
      <c r="D64" t="s">
        <v>62</v>
      </c>
    </row>
    <row r="65" spans="1:4" x14ac:dyDescent="0.25">
      <c r="A65" t="s">
        <v>44</v>
      </c>
      <c r="B65" t="s">
        <v>167</v>
      </c>
      <c r="C65">
        <v>361</v>
      </c>
      <c r="D65" t="s">
        <v>69</v>
      </c>
    </row>
    <row r="66" spans="1:4" x14ac:dyDescent="0.25">
      <c r="A66" t="s">
        <v>44</v>
      </c>
      <c r="B66" t="s">
        <v>168</v>
      </c>
      <c r="C66">
        <v>43</v>
      </c>
      <c r="D66" t="s">
        <v>69</v>
      </c>
    </row>
    <row r="67" spans="1:4" x14ac:dyDescent="0.25">
      <c r="A67" t="s">
        <v>44</v>
      </c>
      <c r="B67" t="s">
        <v>193</v>
      </c>
      <c r="C67">
        <v>18</v>
      </c>
      <c r="D67" t="s">
        <v>43</v>
      </c>
    </row>
    <row r="68" spans="1:4" x14ac:dyDescent="0.25">
      <c r="A68" t="s">
        <v>44</v>
      </c>
      <c r="B68" t="s">
        <v>194</v>
      </c>
      <c r="C68">
        <v>2</v>
      </c>
      <c r="D68" t="s">
        <v>43</v>
      </c>
    </row>
    <row r="69" spans="1:4" x14ac:dyDescent="0.25">
      <c r="A69" t="s">
        <v>195</v>
      </c>
      <c r="B69" t="s">
        <v>43</v>
      </c>
      <c r="C69">
        <v>2962</v>
      </c>
      <c r="D69" t="s">
        <v>62</v>
      </c>
    </row>
    <row r="70" spans="1:4" x14ac:dyDescent="0.25">
      <c r="A70" t="s">
        <v>44</v>
      </c>
      <c r="B70" t="s">
        <v>196</v>
      </c>
      <c r="C70">
        <v>2733</v>
      </c>
      <c r="D70" t="s">
        <v>38</v>
      </c>
    </row>
    <row r="71" spans="1:4" x14ac:dyDescent="0.25">
      <c r="A71" t="s">
        <v>44</v>
      </c>
      <c r="B71" t="s">
        <v>53</v>
      </c>
      <c r="C71">
        <v>217</v>
      </c>
      <c r="D71" t="s">
        <v>79</v>
      </c>
    </row>
    <row r="72" spans="1:4" x14ac:dyDescent="0.25">
      <c r="A72" t="s">
        <v>44</v>
      </c>
      <c r="B72" t="s">
        <v>67</v>
      </c>
      <c r="C72">
        <v>10</v>
      </c>
      <c r="D72" t="s">
        <v>43</v>
      </c>
    </row>
    <row r="73" spans="1:4" x14ac:dyDescent="0.25">
      <c r="A73" t="s">
        <v>197</v>
      </c>
      <c r="B73" t="s">
        <v>43</v>
      </c>
      <c r="C73">
        <v>2870</v>
      </c>
      <c r="D73" t="s">
        <v>62</v>
      </c>
    </row>
    <row r="74" spans="1:4" x14ac:dyDescent="0.25">
      <c r="A74" t="s">
        <v>44</v>
      </c>
      <c r="B74" t="s">
        <v>198</v>
      </c>
      <c r="C74">
        <v>2733</v>
      </c>
      <c r="D74" t="s">
        <v>73</v>
      </c>
    </row>
    <row r="75" spans="1:4" x14ac:dyDescent="0.25">
      <c r="A75" t="s">
        <v>44</v>
      </c>
      <c r="B75" t="s">
        <v>199</v>
      </c>
      <c r="C75">
        <v>136</v>
      </c>
      <c r="D75" t="s">
        <v>43</v>
      </c>
    </row>
    <row r="76" spans="1:4" x14ac:dyDescent="0.25">
      <c r="A76" t="s">
        <v>200</v>
      </c>
      <c r="B76" t="s">
        <v>43</v>
      </c>
      <c r="C76">
        <v>2976</v>
      </c>
      <c r="D76" t="s">
        <v>62</v>
      </c>
    </row>
    <row r="77" spans="1:4" x14ac:dyDescent="0.25">
      <c r="A77" t="s">
        <v>44</v>
      </c>
      <c r="B77" t="s">
        <v>170</v>
      </c>
      <c r="C77">
        <v>2351</v>
      </c>
      <c r="D77" t="s">
        <v>38</v>
      </c>
    </row>
    <row r="78" spans="1:4" x14ac:dyDescent="0.25">
      <c r="A78" t="s">
        <v>44</v>
      </c>
      <c r="B78" t="s">
        <v>53</v>
      </c>
      <c r="C78">
        <v>446</v>
      </c>
      <c r="D78" t="s">
        <v>79</v>
      </c>
    </row>
    <row r="79" spans="1:4" x14ac:dyDescent="0.25">
      <c r="A79" t="s">
        <v>44</v>
      </c>
      <c r="B79" t="s">
        <v>67</v>
      </c>
      <c r="C79">
        <v>22</v>
      </c>
      <c r="D79" t="s">
        <v>43</v>
      </c>
    </row>
    <row r="80" spans="1:4" x14ac:dyDescent="0.25">
      <c r="A80" t="s">
        <v>44</v>
      </c>
      <c r="B80" t="s">
        <v>54</v>
      </c>
      <c r="C80">
        <v>148</v>
      </c>
      <c r="D80" t="s">
        <v>80</v>
      </c>
    </row>
    <row r="81" spans="1:4" x14ac:dyDescent="0.25">
      <c r="A81" t="s">
        <v>44</v>
      </c>
      <c r="B81" t="s">
        <v>68</v>
      </c>
      <c r="C81">
        <v>7</v>
      </c>
      <c r="D81" t="s">
        <v>43</v>
      </c>
    </row>
    <row r="82" spans="1:4" x14ac:dyDescent="0.25">
      <c r="A82" t="s">
        <v>201</v>
      </c>
      <c r="B82" t="s">
        <v>43</v>
      </c>
      <c r="C82">
        <v>1902</v>
      </c>
      <c r="D82" t="s">
        <v>62</v>
      </c>
    </row>
    <row r="83" spans="1:4" x14ac:dyDescent="0.25">
      <c r="A83" t="s">
        <v>44</v>
      </c>
      <c r="B83" t="s">
        <v>170</v>
      </c>
      <c r="C83">
        <v>1431</v>
      </c>
      <c r="D83" t="s">
        <v>83</v>
      </c>
    </row>
    <row r="84" spans="1:4" x14ac:dyDescent="0.25">
      <c r="A84" t="s">
        <v>44</v>
      </c>
      <c r="B84" t="s">
        <v>171</v>
      </c>
      <c r="C84">
        <v>71</v>
      </c>
      <c r="D84" t="s">
        <v>43</v>
      </c>
    </row>
    <row r="85" spans="1:4" x14ac:dyDescent="0.25">
      <c r="A85" t="s">
        <v>44</v>
      </c>
      <c r="B85" t="s">
        <v>53</v>
      </c>
      <c r="C85">
        <v>285</v>
      </c>
      <c r="D85" t="s">
        <v>79</v>
      </c>
    </row>
    <row r="86" spans="1:4" x14ac:dyDescent="0.25">
      <c r="A86" t="s">
        <v>44</v>
      </c>
      <c r="B86" t="s">
        <v>67</v>
      </c>
      <c r="C86">
        <v>14</v>
      </c>
      <c r="D86" t="s">
        <v>43</v>
      </c>
    </row>
    <row r="87" spans="1:4" x14ac:dyDescent="0.25">
      <c r="A87" t="s">
        <v>44</v>
      </c>
      <c r="B87" t="s">
        <v>54</v>
      </c>
      <c r="C87">
        <v>95</v>
      </c>
      <c r="D87" t="s">
        <v>80</v>
      </c>
    </row>
    <row r="88" spans="1:4" x14ac:dyDescent="0.25">
      <c r="A88" t="s">
        <v>44</v>
      </c>
      <c r="B88" t="s">
        <v>68</v>
      </c>
      <c r="C88">
        <v>4</v>
      </c>
      <c r="D88" t="s">
        <v>43</v>
      </c>
    </row>
    <row r="89" spans="1:4" x14ac:dyDescent="0.25">
      <c r="A89" t="s">
        <v>202</v>
      </c>
      <c r="B89" t="s">
        <v>43</v>
      </c>
      <c r="C89">
        <v>382</v>
      </c>
      <c r="D89" t="s">
        <v>62</v>
      </c>
    </row>
    <row r="90" spans="1:4" x14ac:dyDescent="0.25">
      <c r="A90" t="s">
        <v>44</v>
      </c>
      <c r="B90" t="s">
        <v>162</v>
      </c>
      <c r="C90">
        <v>306</v>
      </c>
      <c r="D90" t="s">
        <v>86</v>
      </c>
    </row>
    <row r="91" spans="1:4" x14ac:dyDescent="0.25">
      <c r="A91" t="s">
        <v>44</v>
      </c>
      <c r="B91" t="s">
        <v>185</v>
      </c>
      <c r="C91">
        <v>15</v>
      </c>
      <c r="D91" t="s">
        <v>43</v>
      </c>
    </row>
    <row r="92" spans="1:4" x14ac:dyDescent="0.25">
      <c r="A92" t="s">
        <v>44</v>
      </c>
      <c r="B92" t="s">
        <v>53</v>
      </c>
      <c r="C92">
        <v>57</v>
      </c>
      <c r="D92" t="s">
        <v>79</v>
      </c>
    </row>
    <row r="93" spans="1:4" x14ac:dyDescent="0.25">
      <c r="A93" t="s">
        <v>44</v>
      </c>
      <c r="B93" t="s">
        <v>67</v>
      </c>
      <c r="C93">
        <v>2</v>
      </c>
      <c r="D93" t="s">
        <v>43</v>
      </c>
    </row>
    <row r="94" spans="1:4" x14ac:dyDescent="0.25">
      <c r="A94" t="s">
        <v>203</v>
      </c>
      <c r="B94" t="s">
        <v>43</v>
      </c>
      <c r="C94">
        <v>2742</v>
      </c>
      <c r="D94" t="s">
        <v>62</v>
      </c>
    </row>
    <row r="95" spans="1:4" x14ac:dyDescent="0.25">
      <c r="A95" t="s">
        <v>44</v>
      </c>
      <c r="B95" t="s">
        <v>189</v>
      </c>
      <c r="C95">
        <v>2605</v>
      </c>
      <c r="D95" t="s">
        <v>61</v>
      </c>
    </row>
    <row r="96" spans="1:4" x14ac:dyDescent="0.25">
      <c r="A96" t="s">
        <v>44</v>
      </c>
      <c r="B96" t="s">
        <v>204</v>
      </c>
      <c r="C96">
        <v>130</v>
      </c>
      <c r="D96" t="s">
        <v>43</v>
      </c>
    </row>
    <row r="97" spans="1:4" x14ac:dyDescent="0.25">
      <c r="A97" t="s">
        <v>44</v>
      </c>
      <c r="B97" t="s">
        <v>53</v>
      </c>
      <c r="C97">
        <v>6</v>
      </c>
      <c r="D97" t="s">
        <v>79</v>
      </c>
    </row>
    <row r="98" spans="1:4" x14ac:dyDescent="0.25">
      <c r="A98" t="s">
        <v>44</v>
      </c>
      <c r="B98" t="s">
        <v>67</v>
      </c>
      <c r="C98">
        <v>0</v>
      </c>
      <c r="D98" t="s">
        <v>43</v>
      </c>
    </row>
    <row r="99" spans="1:4" x14ac:dyDescent="0.25">
      <c r="A99" t="s">
        <v>205</v>
      </c>
      <c r="B99" t="s">
        <v>43</v>
      </c>
      <c r="C99">
        <v>320</v>
      </c>
      <c r="D99" t="s">
        <v>62</v>
      </c>
    </row>
    <row r="100" spans="1:4" x14ac:dyDescent="0.25">
      <c r="A100" t="s">
        <v>44</v>
      </c>
      <c r="B100" t="s">
        <v>196</v>
      </c>
      <c r="C100">
        <v>304</v>
      </c>
      <c r="D100" t="s">
        <v>104</v>
      </c>
    </row>
    <row r="101" spans="1:4" x14ac:dyDescent="0.25">
      <c r="A101" t="s">
        <v>44</v>
      </c>
      <c r="B101" t="s">
        <v>206</v>
      </c>
      <c r="C101">
        <v>15</v>
      </c>
      <c r="D101" t="s">
        <v>43</v>
      </c>
    </row>
    <row r="102" spans="1:4" x14ac:dyDescent="0.25">
      <c r="A102" t="s">
        <v>207</v>
      </c>
      <c r="B102" t="s">
        <v>43</v>
      </c>
      <c r="C102">
        <v>1740</v>
      </c>
      <c r="D102" t="s">
        <v>62</v>
      </c>
    </row>
    <row r="103" spans="1:4" x14ac:dyDescent="0.25">
      <c r="A103" t="s">
        <v>44</v>
      </c>
      <c r="B103" t="s">
        <v>170</v>
      </c>
      <c r="C103">
        <v>1309</v>
      </c>
      <c r="D103" t="s">
        <v>208</v>
      </c>
    </row>
    <row r="104" spans="1:4" x14ac:dyDescent="0.25">
      <c r="A104" t="s">
        <v>44</v>
      </c>
      <c r="B104" t="s">
        <v>171</v>
      </c>
      <c r="C104">
        <v>65</v>
      </c>
      <c r="D104" t="s">
        <v>43</v>
      </c>
    </row>
    <row r="105" spans="1:4" x14ac:dyDescent="0.25">
      <c r="A105" t="s">
        <v>44</v>
      </c>
      <c r="B105" t="s">
        <v>53</v>
      </c>
      <c r="C105">
        <v>261</v>
      </c>
      <c r="D105" t="s">
        <v>79</v>
      </c>
    </row>
    <row r="106" spans="1:4" x14ac:dyDescent="0.25">
      <c r="A106" t="s">
        <v>44</v>
      </c>
      <c r="B106" t="s">
        <v>67</v>
      </c>
      <c r="C106">
        <v>13</v>
      </c>
      <c r="D106" t="s">
        <v>43</v>
      </c>
    </row>
    <row r="107" spans="1:4" x14ac:dyDescent="0.25">
      <c r="A107" t="s">
        <v>44</v>
      </c>
      <c r="B107" t="s">
        <v>54</v>
      </c>
      <c r="C107">
        <v>87</v>
      </c>
      <c r="D107" t="s">
        <v>80</v>
      </c>
    </row>
    <row r="108" spans="1:4" x14ac:dyDescent="0.25">
      <c r="A108" t="s">
        <v>44</v>
      </c>
      <c r="B108" t="s">
        <v>68</v>
      </c>
      <c r="C108">
        <v>4</v>
      </c>
      <c r="D108" t="s">
        <v>43</v>
      </c>
    </row>
    <row r="109" spans="1:4" x14ac:dyDescent="0.25">
      <c r="A109" t="s">
        <v>209</v>
      </c>
      <c r="B109" t="s">
        <v>43</v>
      </c>
      <c r="C109">
        <v>2946</v>
      </c>
      <c r="D109" t="s">
        <v>62</v>
      </c>
    </row>
    <row r="110" spans="1:4" x14ac:dyDescent="0.25">
      <c r="A110" t="s">
        <v>44</v>
      </c>
      <c r="B110" t="s">
        <v>198</v>
      </c>
      <c r="C110">
        <v>2946</v>
      </c>
      <c r="D110" t="s">
        <v>38</v>
      </c>
    </row>
    <row r="111" spans="1:4" x14ac:dyDescent="0.25">
      <c r="A111" t="s">
        <v>210</v>
      </c>
      <c r="B111" t="s">
        <v>43</v>
      </c>
      <c r="C111">
        <v>1826</v>
      </c>
      <c r="D111" t="s">
        <v>62</v>
      </c>
    </row>
    <row r="112" spans="1:4" x14ac:dyDescent="0.25">
      <c r="A112" t="s">
        <v>44</v>
      </c>
      <c r="B112" t="s">
        <v>154</v>
      </c>
      <c r="C112">
        <v>1739</v>
      </c>
      <c r="D112" t="s">
        <v>145</v>
      </c>
    </row>
    <row r="113" spans="1:4" x14ac:dyDescent="0.25">
      <c r="A113" t="s">
        <v>44</v>
      </c>
      <c r="B113" t="s">
        <v>155</v>
      </c>
      <c r="C113">
        <v>86</v>
      </c>
      <c r="D113" t="s">
        <v>43</v>
      </c>
    </row>
    <row r="114" spans="1:4" x14ac:dyDescent="0.25">
      <c r="A114" t="s">
        <v>211</v>
      </c>
      <c r="B114" t="s">
        <v>43</v>
      </c>
      <c r="C114">
        <v>1505</v>
      </c>
      <c r="D114" t="s">
        <v>62</v>
      </c>
    </row>
    <row r="115" spans="1:4" x14ac:dyDescent="0.25">
      <c r="A115" t="s">
        <v>44</v>
      </c>
      <c r="B115" t="s">
        <v>154</v>
      </c>
      <c r="C115">
        <v>1433</v>
      </c>
      <c r="D115" t="s">
        <v>84</v>
      </c>
    </row>
    <row r="116" spans="1:4" x14ac:dyDescent="0.25">
      <c r="A116" t="s">
        <v>44</v>
      </c>
      <c r="B116" t="s">
        <v>155</v>
      </c>
      <c r="C116">
        <v>71</v>
      </c>
      <c r="D116" t="s">
        <v>43</v>
      </c>
    </row>
    <row r="117" spans="1:4" x14ac:dyDescent="0.25">
      <c r="A117" t="s">
        <v>212</v>
      </c>
      <c r="B117" t="s">
        <v>43</v>
      </c>
      <c r="C117">
        <v>2833</v>
      </c>
      <c r="D117" t="s">
        <v>62</v>
      </c>
    </row>
    <row r="118" spans="1:4" x14ac:dyDescent="0.25">
      <c r="A118" t="s">
        <v>44</v>
      </c>
      <c r="B118" t="s">
        <v>170</v>
      </c>
      <c r="C118">
        <v>1504</v>
      </c>
      <c r="D118" t="s">
        <v>85</v>
      </c>
    </row>
    <row r="119" spans="1:4" x14ac:dyDescent="0.25">
      <c r="A119" t="s">
        <v>44</v>
      </c>
      <c r="B119" t="s">
        <v>178</v>
      </c>
      <c r="C119">
        <v>690</v>
      </c>
      <c r="D119" t="s">
        <v>85</v>
      </c>
    </row>
    <row r="120" spans="1:4" x14ac:dyDescent="0.25">
      <c r="A120" t="s">
        <v>44</v>
      </c>
      <c r="B120" t="s">
        <v>171</v>
      </c>
      <c r="C120">
        <v>75</v>
      </c>
      <c r="D120" t="s">
        <v>43</v>
      </c>
    </row>
    <row r="121" spans="1:4" x14ac:dyDescent="0.25">
      <c r="A121" t="s">
        <v>44</v>
      </c>
      <c r="B121" t="s">
        <v>179</v>
      </c>
      <c r="C121">
        <v>34</v>
      </c>
      <c r="D121" t="s">
        <v>43</v>
      </c>
    </row>
    <row r="122" spans="1:4" x14ac:dyDescent="0.25">
      <c r="A122" t="s">
        <v>44</v>
      </c>
      <c r="B122" t="s">
        <v>53</v>
      </c>
      <c r="C122">
        <v>424</v>
      </c>
      <c r="D122" t="s">
        <v>79</v>
      </c>
    </row>
    <row r="123" spans="1:4" x14ac:dyDescent="0.25">
      <c r="A123" t="s">
        <v>44</v>
      </c>
      <c r="B123" t="s">
        <v>67</v>
      </c>
      <c r="C123">
        <v>21</v>
      </c>
      <c r="D123" t="s">
        <v>43</v>
      </c>
    </row>
    <row r="124" spans="1:4" x14ac:dyDescent="0.25">
      <c r="A124" t="s">
        <v>44</v>
      </c>
      <c r="B124" t="s">
        <v>54</v>
      </c>
      <c r="C124">
        <v>78</v>
      </c>
      <c r="D124" t="s">
        <v>80</v>
      </c>
    </row>
    <row r="125" spans="1:4" x14ac:dyDescent="0.25">
      <c r="A125" t="s">
        <v>44</v>
      </c>
      <c r="B125" t="s">
        <v>68</v>
      </c>
      <c r="C125">
        <v>3</v>
      </c>
      <c r="D125" t="s">
        <v>43</v>
      </c>
    </row>
    <row r="126" spans="1:4" x14ac:dyDescent="0.25">
      <c r="A126" t="s">
        <v>213</v>
      </c>
      <c r="B126" t="s">
        <v>43</v>
      </c>
      <c r="C126">
        <v>578</v>
      </c>
      <c r="D126" t="s">
        <v>62</v>
      </c>
    </row>
    <row r="127" spans="1:4" x14ac:dyDescent="0.25">
      <c r="A127" t="s">
        <v>44</v>
      </c>
      <c r="B127" t="s">
        <v>170</v>
      </c>
      <c r="C127">
        <v>434</v>
      </c>
      <c r="D127" t="s">
        <v>85</v>
      </c>
    </row>
    <row r="128" spans="1:4" x14ac:dyDescent="0.25">
      <c r="A128" t="s">
        <v>44</v>
      </c>
      <c r="B128" t="s">
        <v>171</v>
      </c>
      <c r="C128">
        <v>21</v>
      </c>
      <c r="D128" t="s">
        <v>43</v>
      </c>
    </row>
    <row r="129" spans="1:4" x14ac:dyDescent="0.25">
      <c r="A129" t="s">
        <v>44</v>
      </c>
      <c r="B129" t="s">
        <v>53</v>
      </c>
      <c r="C129">
        <v>86</v>
      </c>
      <c r="D129" t="s">
        <v>79</v>
      </c>
    </row>
    <row r="130" spans="1:4" x14ac:dyDescent="0.25">
      <c r="A130" t="s">
        <v>44</v>
      </c>
      <c r="B130" t="s">
        <v>67</v>
      </c>
      <c r="C130">
        <v>4</v>
      </c>
      <c r="D130" t="s">
        <v>43</v>
      </c>
    </row>
    <row r="131" spans="1:4" x14ac:dyDescent="0.25">
      <c r="A131" t="s">
        <v>44</v>
      </c>
      <c r="B131" t="s">
        <v>54</v>
      </c>
      <c r="C131">
        <v>28</v>
      </c>
      <c r="D131" t="s">
        <v>80</v>
      </c>
    </row>
    <row r="132" spans="1:4" x14ac:dyDescent="0.25">
      <c r="A132" t="s">
        <v>44</v>
      </c>
      <c r="B132" t="s">
        <v>68</v>
      </c>
      <c r="C132">
        <v>1</v>
      </c>
      <c r="D132" t="s">
        <v>43</v>
      </c>
    </row>
    <row r="133" spans="1:4" x14ac:dyDescent="0.25">
      <c r="A133" t="s">
        <v>214</v>
      </c>
      <c r="B133" t="s">
        <v>43</v>
      </c>
      <c r="C133">
        <v>388</v>
      </c>
      <c r="D133" t="s">
        <v>62</v>
      </c>
    </row>
    <row r="134" spans="1:4" x14ac:dyDescent="0.25">
      <c r="A134" t="s">
        <v>44</v>
      </c>
      <c r="B134" t="s">
        <v>154</v>
      </c>
      <c r="C134">
        <v>369</v>
      </c>
      <c r="D134" t="s">
        <v>97</v>
      </c>
    </row>
    <row r="135" spans="1:4" x14ac:dyDescent="0.25">
      <c r="A135" t="s">
        <v>44</v>
      </c>
      <c r="B135" t="s">
        <v>155</v>
      </c>
      <c r="C135">
        <v>18</v>
      </c>
      <c r="D135" t="s">
        <v>43</v>
      </c>
    </row>
    <row r="136" spans="1:4" x14ac:dyDescent="0.25">
      <c r="A136" t="s">
        <v>215</v>
      </c>
      <c r="B136" t="s">
        <v>43</v>
      </c>
      <c r="C136">
        <v>2905</v>
      </c>
      <c r="D136" t="s">
        <v>62</v>
      </c>
    </row>
    <row r="137" spans="1:4" x14ac:dyDescent="0.25">
      <c r="A137" t="s">
        <v>44</v>
      </c>
      <c r="B137" t="s">
        <v>159</v>
      </c>
      <c r="C137">
        <v>2498</v>
      </c>
      <c r="D137" t="s">
        <v>38</v>
      </c>
    </row>
    <row r="138" spans="1:4" x14ac:dyDescent="0.25">
      <c r="A138" t="s">
        <v>44</v>
      </c>
      <c r="B138" t="s">
        <v>53</v>
      </c>
      <c r="C138">
        <v>386</v>
      </c>
      <c r="D138" t="s">
        <v>79</v>
      </c>
    </row>
    <row r="139" spans="1:4" x14ac:dyDescent="0.25">
      <c r="A139" t="s">
        <v>44</v>
      </c>
      <c r="B139" t="s">
        <v>67</v>
      </c>
      <c r="C139">
        <v>19</v>
      </c>
      <c r="D139" t="s">
        <v>43</v>
      </c>
    </row>
    <row r="140" spans="1:4" x14ac:dyDescent="0.25">
      <c r="A140" t="s">
        <v>216</v>
      </c>
      <c r="B140" t="s">
        <v>43</v>
      </c>
      <c r="C140">
        <v>1937</v>
      </c>
      <c r="D140" t="s">
        <v>62</v>
      </c>
    </row>
    <row r="141" spans="1:4" x14ac:dyDescent="0.25">
      <c r="A141" t="s">
        <v>44</v>
      </c>
      <c r="B141" t="s">
        <v>170</v>
      </c>
      <c r="C141">
        <v>1457</v>
      </c>
      <c r="D141" t="s">
        <v>88</v>
      </c>
    </row>
    <row r="142" spans="1:4" x14ac:dyDescent="0.25">
      <c r="A142" t="s">
        <v>44</v>
      </c>
      <c r="B142" t="s">
        <v>171</v>
      </c>
      <c r="C142">
        <v>72</v>
      </c>
      <c r="D142" t="s">
        <v>43</v>
      </c>
    </row>
    <row r="143" spans="1:4" x14ac:dyDescent="0.25">
      <c r="A143" t="s">
        <v>44</v>
      </c>
      <c r="B143" t="s">
        <v>53</v>
      </c>
      <c r="C143">
        <v>290</v>
      </c>
      <c r="D143" t="s">
        <v>79</v>
      </c>
    </row>
    <row r="144" spans="1:4" x14ac:dyDescent="0.25">
      <c r="A144" t="s">
        <v>44</v>
      </c>
      <c r="B144" t="s">
        <v>67</v>
      </c>
      <c r="C144">
        <v>14</v>
      </c>
      <c r="D144" t="s">
        <v>43</v>
      </c>
    </row>
    <row r="145" spans="1:4" x14ac:dyDescent="0.25">
      <c r="A145" t="s">
        <v>44</v>
      </c>
      <c r="B145" t="s">
        <v>54</v>
      </c>
      <c r="C145">
        <v>96</v>
      </c>
      <c r="D145" t="s">
        <v>80</v>
      </c>
    </row>
    <row r="146" spans="1:4" x14ac:dyDescent="0.25">
      <c r="A146" t="s">
        <v>44</v>
      </c>
      <c r="B146" t="s">
        <v>68</v>
      </c>
      <c r="C146">
        <v>4</v>
      </c>
      <c r="D146" t="s">
        <v>43</v>
      </c>
    </row>
    <row r="147" spans="1:4" x14ac:dyDescent="0.25">
      <c r="A147" t="s">
        <v>217</v>
      </c>
      <c r="B147" t="s">
        <v>43</v>
      </c>
      <c r="C147">
        <v>1471</v>
      </c>
      <c r="D147" t="s">
        <v>62</v>
      </c>
    </row>
    <row r="148" spans="1:4" x14ac:dyDescent="0.25">
      <c r="A148" t="s">
        <v>44</v>
      </c>
      <c r="B148" t="s">
        <v>218</v>
      </c>
      <c r="C148">
        <v>1471</v>
      </c>
      <c r="D148" t="s">
        <v>38</v>
      </c>
    </row>
    <row r="149" spans="1:4" x14ac:dyDescent="0.25">
      <c r="A149" t="s">
        <v>219</v>
      </c>
      <c r="B149" t="s">
        <v>43</v>
      </c>
      <c r="C149">
        <v>829</v>
      </c>
      <c r="D149" t="s">
        <v>62</v>
      </c>
    </row>
    <row r="150" spans="1:4" x14ac:dyDescent="0.25">
      <c r="A150" t="s">
        <v>44</v>
      </c>
      <c r="B150" t="s">
        <v>189</v>
      </c>
      <c r="C150">
        <v>789</v>
      </c>
      <c r="D150" t="s">
        <v>220</v>
      </c>
    </row>
    <row r="151" spans="1:4" x14ac:dyDescent="0.25">
      <c r="A151" t="s">
        <v>44</v>
      </c>
      <c r="B151" t="s">
        <v>204</v>
      </c>
      <c r="C151">
        <v>39</v>
      </c>
      <c r="D151" t="s">
        <v>43</v>
      </c>
    </row>
    <row r="152" spans="1:4" x14ac:dyDescent="0.25">
      <c r="A152" t="s">
        <v>221</v>
      </c>
      <c r="B152" t="s">
        <v>43</v>
      </c>
      <c r="C152">
        <v>1576</v>
      </c>
      <c r="D152" t="s">
        <v>62</v>
      </c>
    </row>
    <row r="153" spans="1:4" x14ac:dyDescent="0.25">
      <c r="A153" t="s">
        <v>44</v>
      </c>
      <c r="B153" t="s">
        <v>154</v>
      </c>
      <c r="C153">
        <v>1500</v>
      </c>
      <c r="D153" t="s">
        <v>222</v>
      </c>
    </row>
    <row r="154" spans="1:4" x14ac:dyDescent="0.25">
      <c r="A154" t="s">
        <v>44</v>
      </c>
      <c r="B154" t="s">
        <v>155</v>
      </c>
      <c r="C154">
        <v>75</v>
      </c>
      <c r="D154" t="s">
        <v>43</v>
      </c>
    </row>
    <row r="155" spans="1:4" x14ac:dyDescent="0.25">
      <c r="A155" t="s">
        <v>223</v>
      </c>
      <c r="B155" t="s">
        <v>43</v>
      </c>
      <c r="C155">
        <v>331</v>
      </c>
      <c r="D155" t="s">
        <v>62</v>
      </c>
    </row>
    <row r="156" spans="1:4" x14ac:dyDescent="0.25">
      <c r="A156" t="s">
        <v>44</v>
      </c>
      <c r="B156" t="s">
        <v>170</v>
      </c>
      <c r="C156">
        <v>315</v>
      </c>
      <c r="D156" t="s">
        <v>224</v>
      </c>
    </row>
    <row r="157" spans="1:4" x14ac:dyDescent="0.25">
      <c r="A157" t="s">
        <v>44</v>
      </c>
      <c r="B157" t="s">
        <v>171</v>
      </c>
      <c r="C157">
        <v>15</v>
      </c>
      <c r="D157" t="s">
        <v>43</v>
      </c>
    </row>
    <row r="158" spans="1:4" x14ac:dyDescent="0.25">
      <c r="A158" t="s">
        <v>225</v>
      </c>
      <c r="B158" t="s">
        <v>43</v>
      </c>
      <c r="C158">
        <v>396</v>
      </c>
      <c r="D158" t="s">
        <v>62</v>
      </c>
    </row>
    <row r="159" spans="1:4" x14ac:dyDescent="0.25">
      <c r="A159" t="s">
        <v>44</v>
      </c>
      <c r="B159" t="s">
        <v>170</v>
      </c>
      <c r="C159">
        <v>317</v>
      </c>
      <c r="D159" t="s">
        <v>98</v>
      </c>
    </row>
    <row r="160" spans="1:4" x14ac:dyDescent="0.25">
      <c r="A160" t="s">
        <v>44</v>
      </c>
      <c r="B160" t="s">
        <v>171</v>
      </c>
      <c r="C160">
        <v>15</v>
      </c>
      <c r="D160" t="s">
        <v>43</v>
      </c>
    </row>
    <row r="161" spans="1:4" x14ac:dyDescent="0.25">
      <c r="A161" t="s">
        <v>44</v>
      </c>
      <c r="B161" t="s">
        <v>53</v>
      </c>
      <c r="C161">
        <v>59</v>
      </c>
      <c r="D161" t="s">
        <v>79</v>
      </c>
    </row>
    <row r="162" spans="1:4" x14ac:dyDescent="0.25">
      <c r="A162" t="s">
        <v>44</v>
      </c>
      <c r="B162" t="s">
        <v>67</v>
      </c>
      <c r="C162">
        <v>2</v>
      </c>
      <c r="D162" t="s">
        <v>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79"/>
  <sheetViews>
    <sheetView workbookViewId="0"/>
  </sheetViews>
  <sheetFormatPr defaultRowHeight="15" x14ac:dyDescent="0.25"/>
  <cols>
    <col min="1" max="1" width="19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45</v>
      </c>
      <c r="B1" t="s">
        <v>112</v>
      </c>
      <c r="C1" t="s">
        <v>113</v>
      </c>
      <c r="D1" t="s">
        <v>62</v>
      </c>
    </row>
    <row r="2" spans="1:4" x14ac:dyDescent="0.25">
      <c r="A2" t="s">
        <v>226</v>
      </c>
      <c r="B2" t="s">
        <v>43</v>
      </c>
      <c r="C2">
        <v>6397</v>
      </c>
      <c r="D2" t="s">
        <v>62</v>
      </c>
    </row>
    <row r="3" spans="1:4" x14ac:dyDescent="0.25">
      <c r="A3" t="s">
        <v>44</v>
      </c>
      <c r="B3" t="s">
        <v>227</v>
      </c>
      <c r="C3">
        <v>1963</v>
      </c>
      <c r="D3" t="s">
        <v>38</v>
      </c>
    </row>
    <row r="4" spans="1:4" x14ac:dyDescent="0.25">
      <c r="A4" t="s">
        <v>44</v>
      </c>
      <c r="B4" t="s">
        <v>228</v>
      </c>
      <c r="C4">
        <v>2257</v>
      </c>
      <c r="D4" t="s">
        <v>103</v>
      </c>
    </row>
    <row r="5" spans="1:4" x14ac:dyDescent="0.25">
      <c r="A5" t="s">
        <v>44</v>
      </c>
      <c r="B5" t="s">
        <v>229</v>
      </c>
      <c r="C5">
        <v>321</v>
      </c>
      <c r="D5" t="s">
        <v>86</v>
      </c>
    </row>
    <row r="6" spans="1:4" x14ac:dyDescent="0.25">
      <c r="A6" t="s">
        <v>44</v>
      </c>
      <c r="B6" t="s">
        <v>53</v>
      </c>
      <c r="C6">
        <v>1535</v>
      </c>
      <c r="D6" t="s">
        <v>79</v>
      </c>
    </row>
    <row r="7" spans="1:4" x14ac:dyDescent="0.25">
      <c r="A7" t="s">
        <v>44</v>
      </c>
      <c r="B7" t="s">
        <v>54</v>
      </c>
      <c r="C7">
        <v>319</v>
      </c>
      <c r="D7" t="s">
        <v>80</v>
      </c>
    </row>
    <row r="8" spans="1:4" x14ac:dyDescent="0.25">
      <c r="A8" t="s">
        <v>230</v>
      </c>
      <c r="B8" t="s">
        <v>43</v>
      </c>
      <c r="C8">
        <v>3443</v>
      </c>
      <c r="D8" t="s">
        <v>62</v>
      </c>
    </row>
    <row r="9" spans="1:4" x14ac:dyDescent="0.25">
      <c r="A9" t="s">
        <v>44</v>
      </c>
      <c r="B9" t="s">
        <v>231</v>
      </c>
      <c r="C9">
        <v>2048</v>
      </c>
      <c r="D9" t="s">
        <v>38</v>
      </c>
    </row>
    <row r="10" spans="1:4" x14ac:dyDescent="0.25">
      <c r="A10" t="s">
        <v>44</v>
      </c>
      <c r="B10" t="s">
        <v>232</v>
      </c>
      <c r="C10">
        <v>395</v>
      </c>
      <c r="D10" t="s">
        <v>72</v>
      </c>
    </row>
    <row r="11" spans="1:4" x14ac:dyDescent="0.25">
      <c r="A11" t="s">
        <v>44</v>
      </c>
      <c r="B11" t="s">
        <v>53</v>
      </c>
      <c r="C11">
        <v>826</v>
      </c>
      <c r="D11" t="s">
        <v>79</v>
      </c>
    </row>
    <row r="12" spans="1:4" x14ac:dyDescent="0.25">
      <c r="A12" t="s">
        <v>44</v>
      </c>
      <c r="B12" t="s">
        <v>54</v>
      </c>
      <c r="C12">
        <v>172</v>
      </c>
      <c r="D12" t="s">
        <v>80</v>
      </c>
    </row>
    <row r="13" spans="1:4" x14ac:dyDescent="0.25">
      <c r="A13" t="s">
        <v>233</v>
      </c>
      <c r="B13" t="s">
        <v>43</v>
      </c>
      <c r="C13">
        <v>6578</v>
      </c>
      <c r="D13" t="s">
        <v>62</v>
      </c>
    </row>
    <row r="14" spans="1:4" x14ac:dyDescent="0.25">
      <c r="A14" t="s">
        <v>44</v>
      </c>
      <c r="B14" t="s">
        <v>234</v>
      </c>
      <c r="C14">
        <v>1106</v>
      </c>
      <c r="D14" t="s">
        <v>38</v>
      </c>
    </row>
    <row r="15" spans="1:4" x14ac:dyDescent="0.25">
      <c r="A15" t="s">
        <v>44</v>
      </c>
      <c r="B15" t="s">
        <v>235</v>
      </c>
      <c r="C15">
        <v>2735</v>
      </c>
      <c r="D15" t="s">
        <v>61</v>
      </c>
    </row>
    <row r="16" spans="1:4" x14ac:dyDescent="0.25">
      <c r="A16" t="s">
        <v>44</v>
      </c>
      <c r="B16" t="s">
        <v>236</v>
      </c>
      <c r="C16">
        <v>829</v>
      </c>
      <c r="D16" t="s">
        <v>220</v>
      </c>
    </row>
    <row r="17" spans="1:4" x14ac:dyDescent="0.25">
      <c r="A17" t="s">
        <v>44</v>
      </c>
      <c r="B17" t="s">
        <v>53</v>
      </c>
      <c r="C17">
        <v>1578</v>
      </c>
      <c r="D17" t="s">
        <v>79</v>
      </c>
    </row>
    <row r="18" spans="1:4" x14ac:dyDescent="0.25">
      <c r="A18" t="s">
        <v>44</v>
      </c>
      <c r="B18" t="s">
        <v>54</v>
      </c>
      <c r="C18">
        <v>328</v>
      </c>
      <c r="D18" t="s">
        <v>80</v>
      </c>
    </row>
    <row r="19" spans="1:4" x14ac:dyDescent="0.25">
      <c r="A19" t="s">
        <v>237</v>
      </c>
      <c r="B19" t="s">
        <v>43</v>
      </c>
      <c r="C19">
        <v>1975</v>
      </c>
      <c r="D19" t="s">
        <v>62</v>
      </c>
    </row>
    <row r="20" spans="1:4" x14ac:dyDescent="0.25">
      <c r="A20" t="s">
        <v>44</v>
      </c>
      <c r="B20" t="s">
        <v>238</v>
      </c>
      <c r="C20">
        <v>1023</v>
      </c>
      <c r="D20" t="s">
        <v>38</v>
      </c>
    </row>
    <row r="21" spans="1:4" x14ac:dyDescent="0.25">
      <c r="A21" t="s">
        <v>44</v>
      </c>
      <c r="B21" t="s">
        <v>239</v>
      </c>
      <c r="C21">
        <v>379</v>
      </c>
      <c r="D21" t="s">
        <v>69</v>
      </c>
    </row>
    <row r="22" spans="1:4" x14ac:dyDescent="0.25">
      <c r="A22" t="s">
        <v>44</v>
      </c>
      <c r="B22" t="s">
        <v>53</v>
      </c>
      <c r="C22">
        <v>474</v>
      </c>
      <c r="D22" t="s">
        <v>79</v>
      </c>
    </row>
    <row r="23" spans="1:4" x14ac:dyDescent="0.25">
      <c r="A23" t="s">
        <v>44</v>
      </c>
      <c r="B23" t="s">
        <v>54</v>
      </c>
      <c r="C23">
        <v>98</v>
      </c>
      <c r="D23" t="s">
        <v>80</v>
      </c>
    </row>
    <row r="24" spans="1:4" x14ac:dyDescent="0.25">
      <c r="A24" t="s">
        <v>240</v>
      </c>
      <c r="B24" t="s">
        <v>43</v>
      </c>
      <c r="C24">
        <v>3053</v>
      </c>
      <c r="D24" t="s">
        <v>62</v>
      </c>
    </row>
    <row r="25" spans="1:4" x14ac:dyDescent="0.25">
      <c r="A25" t="s">
        <v>44</v>
      </c>
      <c r="B25" t="s">
        <v>241</v>
      </c>
      <c r="C25">
        <v>2167</v>
      </c>
      <c r="D25" t="s">
        <v>38</v>
      </c>
    </row>
    <row r="26" spans="1:4" x14ac:dyDescent="0.25">
      <c r="A26" t="s">
        <v>44</v>
      </c>
      <c r="B26" t="s">
        <v>53</v>
      </c>
      <c r="C26">
        <v>732</v>
      </c>
      <c r="D26" t="s">
        <v>79</v>
      </c>
    </row>
    <row r="27" spans="1:4" x14ac:dyDescent="0.25">
      <c r="A27" t="s">
        <v>44</v>
      </c>
      <c r="B27" t="s">
        <v>54</v>
      </c>
      <c r="C27">
        <v>152</v>
      </c>
      <c r="D27" t="s">
        <v>80</v>
      </c>
    </row>
    <row r="28" spans="1:4" x14ac:dyDescent="0.25">
      <c r="A28" t="s">
        <v>242</v>
      </c>
      <c r="B28" t="s">
        <v>43</v>
      </c>
      <c r="C28">
        <v>6016</v>
      </c>
      <c r="D28" t="s">
        <v>62</v>
      </c>
    </row>
    <row r="29" spans="1:4" x14ac:dyDescent="0.25">
      <c r="A29" t="s">
        <v>44</v>
      </c>
      <c r="B29" t="s">
        <v>243</v>
      </c>
      <c r="C29">
        <v>2870</v>
      </c>
      <c r="D29" t="s">
        <v>73</v>
      </c>
    </row>
    <row r="30" spans="1:4" x14ac:dyDescent="0.25">
      <c r="A30" t="s">
        <v>44</v>
      </c>
      <c r="B30" t="s">
        <v>244</v>
      </c>
      <c r="C30">
        <v>1401</v>
      </c>
      <c r="D30" t="s">
        <v>38</v>
      </c>
    </row>
    <row r="31" spans="1:4" x14ac:dyDescent="0.25">
      <c r="A31" t="s">
        <v>44</v>
      </c>
      <c r="B31" t="s">
        <v>53</v>
      </c>
      <c r="C31">
        <v>1443</v>
      </c>
      <c r="D31" t="s">
        <v>79</v>
      </c>
    </row>
    <row r="32" spans="1:4" x14ac:dyDescent="0.25">
      <c r="A32" t="s">
        <v>44</v>
      </c>
      <c r="B32" t="s">
        <v>54</v>
      </c>
      <c r="C32">
        <v>300</v>
      </c>
      <c r="D32" t="s">
        <v>80</v>
      </c>
    </row>
    <row r="33" spans="1:4" x14ac:dyDescent="0.25">
      <c r="A33" t="s">
        <v>245</v>
      </c>
      <c r="B33" t="s">
        <v>43</v>
      </c>
      <c r="C33">
        <v>12570</v>
      </c>
      <c r="D33" t="s">
        <v>62</v>
      </c>
    </row>
    <row r="34" spans="1:4" x14ac:dyDescent="0.25">
      <c r="A34" t="s">
        <v>44</v>
      </c>
      <c r="B34" t="s">
        <v>246</v>
      </c>
      <c r="C34">
        <v>2608</v>
      </c>
      <c r="D34" t="s">
        <v>77</v>
      </c>
    </row>
    <row r="35" spans="1:4" x14ac:dyDescent="0.25">
      <c r="A35" t="s">
        <v>44</v>
      </c>
      <c r="B35" t="s">
        <v>247</v>
      </c>
      <c r="C35">
        <v>503</v>
      </c>
      <c r="D35" t="s">
        <v>177</v>
      </c>
    </row>
    <row r="36" spans="1:4" x14ac:dyDescent="0.25">
      <c r="A36" t="s">
        <v>44</v>
      </c>
      <c r="B36" t="s">
        <v>248</v>
      </c>
      <c r="C36">
        <v>2351</v>
      </c>
      <c r="D36" t="s">
        <v>38</v>
      </c>
    </row>
    <row r="37" spans="1:4" x14ac:dyDescent="0.25">
      <c r="A37" t="s">
        <v>44</v>
      </c>
      <c r="B37" t="s">
        <v>249</v>
      </c>
      <c r="C37">
        <v>1374</v>
      </c>
      <c r="D37" t="s">
        <v>208</v>
      </c>
    </row>
    <row r="38" spans="1:4" x14ac:dyDescent="0.25">
      <c r="A38" t="s">
        <v>44</v>
      </c>
      <c r="B38" t="s">
        <v>250</v>
      </c>
      <c r="C38">
        <v>456</v>
      </c>
      <c r="D38" t="s">
        <v>85</v>
      </c>
    </row>
    <row r="39" spans="1:4" x14ac:dyDescent="0.25">
      <c r="A39" t="s">
        <v>44</v>
      </c>
      <c r="B39" t="s">
        <v>251</v>
      </c>
      <c r="C39">
        <v>1297</v>
      </c>
      <c r="D39" t="s">
        <v>88</v>
      </c>
    </row>
    <row r="40" spans="1:4" x14ac:dyDescent="0.25">
      <c r="A40" t="s">
        <v>44</v>
      </c>
      <c r="B40" t="s">
        <v>252</v>
      </c>
      <c r="C40">
        <v>333</v>
      </c>
      <c r="D40" t="s">
        <v>98</v>
      </c>
    </row>
    <row r="41" spans="1:4" x14ac:dyDescent="0.25">
      <c r="A41" t="s">
        <v>44</v>
      </c>
      <c r="B41" t="s">
        <v>53</v>
      </c>
      <c r="C41">
        <v>3016</v>
      </c>
      <c r="D41" t="s">
        <v>79</v>
      </c>
    </row>
    <row r="42" spans="1:4" x14ac:dyDescent="0.25">
      <c r="A42" t="s">
        <v>44</v>
      </c>
      <c r="B42" t="s">
        <v>54</v>
      </c>
      <c r="C42">
        <v>628</v>
      </c>
      <c r="D42" t="s">
        <v>80</v>
      </c>
    </row>
    <row r="43" spans="1:4" x14ac:dyDescent="0.25">
      <c r="A43" t="s">
        <v>253</v>
      </c>
      <c r="B43" t="s">
        <v>43</v>
      </c>
      <c r="C43">
        <v>2625</v>
      </c>
      <c r="D43" t="s">
        <v>62</v>
      </c>
    </row>
    <row r="44" spans="1:4" x14ac:dyDescent="0.25">
      <c r="A44" t="s">
        <v>44</v>
      </c>
      <c r="B44" t="s">
        <v>238</v>
      </c>
      <c r="C44">
        <v>1863</v>
      </c>
      <c r="D44" t="s">
        <v>38</v>
      </c>
    </row>
    <row r="45" spans="1:4" x14ac:dyDescent="0.25">
      <c r="A45" t="s">
        <v>44</v>
      </c>
      <c r="B45" t="s">
        <v>53</v>
      </c>
      <c r="C45">
        <v>630</v>
      </c>
      <c r="D45" t="s">
        <v>79</v>
      </c>
    </row>
    <row r="46" spans="1:4" x14ac:dyDescent="0.25">
      <c r="A46" t="s">
        <v>44</v>
      </c>
      <c r="B46" t="s">
        <v>54</v>
      </c>
      <c r="C46">
        <v>131</v>
      </c>
      <c r="D46" t="s">
        <v>80</v>
      </c>
    </row>
    <row r="47" spans="1:4" x14ac:dyDescent="0.25">
      <c r="A47" t="s">
        <v>254</v>
      </c>
      <c r="B47" t="s">
        <v>43</v>
      </c>
      <c r="C47">
        <v>2499</v>
      </c>
      <c r="D47" t="s">
        <v>62</v>
      </c>
    </row>
    <row r="48" spans="1:4" x14ac:dyDescent="0.25">
      <c r="A48" t="s">
        <v>44</v>
      </c>
      <c r="B48" t="s">
        <v>247</v>
      </c>
      <c r="C48">
        <v>1775</v>
      </c>
      <c r="D48" t="s">
        <v>177</v>
      </c>
    </row>
    <row r="49" spans="1:4" x14ac:dyDescent="0.25">
      <c r="A49" t="s">
        <v>44</v>
      </c>
      <c r="B49" t="s">
        <v>53</v>
      </c>
      <c r="C49">
        <v>600</v>
      </c>
      <c r="D49" t="s">
        <v>79</v>
      </c>
    </row>
    <row r="50" spans="1:4" x14ac:dyDescent="0.25">
      <c r="A50" t="s">
        <v>44</v>
      </c>
      <c r="B50" t="s">
        <v>54</v>
      </c>
      <c r="C50">
        <v>125</v>
      </c>
      <c r="D50" t="s">
        <v>80</v>
      </c>
    </row>
    <row r="51" spans="1:4" x14ac:dyDescent="0.25">
      <c r="A51" t="s">
        <v>255</v>
      </c>
      <c r="B51" t="s">
        <v>43</v>
      </c>
      <c r="C51">
        <v>2500</v>
      </c>
      <c r="D51" t="s">
        <v>62</v>
      </c>
    </row>
    <row r="52" spans="1:4" x14ac:dyDescent="0.25">
      <c r="A52" t="s">
        <v>44</v>
      </c>
      <c r="B52" t="s">
        <v>256</v>
      </c>
      <c r="C52">
        <v>1775</v>
      </c>
      <c r="D52" t="s">
        <v>38</v>
      </c>
    </row>
    <row r="53" spans="1:4" x14ac:dyDescent="0.25">
      <c r="A53" t="s">
        <v>44</v>
      </c>
      <c r="B53" t="s">
        <v>53</v>
      </c>
      <c r="C53">
        <v>600</v>
      </c>
      <c r="D53" t="s">
        <v>79</v>
      </c>
    </row>
    <row r="54" spans="1:4" x14ac:dyDescent="0.25">
      <c r="A54" t="s">
        <v>44</v>
      </c>
      <c r="B54" t="s">
        <v>54</v>
      </c>
      <c r="C54">
        <v>125</v>
      </c>
      <c r="D54" t="s">
        <v>80</v>
      </c>
    </row>
    <row r="55" spans="1:4" x14ac:dyDescent="0.25">
      <c r="A55" t="s">
        <v>257</v>
      </c>
      <c r="B55" t="s">
        <v>43</v>
      </c>
      <c r="C55">
        <v>11829</v>
      </c>
      <c r="D55" t="s">
        <v>62</v>
      </c>
    </row>
    <row r="56" spans="1:4" x14ac:dyDescent="0.25">
      <c r="A56" t="s">
        <v>44</v>
      </c>
      <c r="B56" t="s">
        <v>258</v>
      </c>
      <c r="C56">
        <v>1867</v>
      </c>
      <c r="D56" t="s">
        <v>164</v>
      </c>
    </row>
    <row r="57" spans="1:4" x14ac:dyDescent="0.25">
      <c r="A57" t="s">
        <v>44</v>
      </c>
      <c r="B57" t="s">
        <v>259</v>
      </c>
      <c r="C57">
        <v>2978</v>
      </c>
      <c r="D57" t="s">
        <v>38</v>
      </c>
    </row>
    <row r="58" spans="1:4" x14ac:dyDescent="0.25">
      <c r="A58" t="s">
        <v>44</v>
      </c>
      <c r="B58" t="s">
        <v>260</v>
      </c>
      <c r="C58">
        <v>773</v>
      </c>
      <c r="D58" t="s">
        <v>191</v>
      </c>
    </row>
    <row r="59" spans="1:4" x14ac:dyDescent="0.25">
      <c r="A59" t="s">
        <v>44</v>
      </c>
      <c r="B59" t="s">
        <v>261</v>
      </c>
      <c r="C59">
        <v>816</v>
      </c>
      <c r="D59" t="s">
        <v>145</v>
      </c>
    </row>
    <row r="60" spans="1:4" x14ac:dyDescent="0.25">
      <c r="A60" t="s">
        <v>44</v>
      </c>
      <c r="B60" t="s">
        <v>262</v>
      </c>
      <c r="C60">
        <v>388</v>
      </c>
      <c r="D60" t="s">
        <v>97</v>
      </c>
    </row>
    <row r="61" spans="1:4" x14ac:dyDescent="0.25">
      <c r="A61" t="s">
        <v>44</v>
      </c>
      <c r="B61" t="s">
        <v>263</v>
      </c>
      <c r="C61">
        <v>1576</v>
      </c>
      <c r="D61" t="s">
        <v>222</v>
      </c>
    </row>
    <row r="62" spans="1:4" x14ac:dyDescent="0.25">
      <c r="A62" t="s">
        <v>44</v>
      </c>
      <c r="B62" t="s">
        <v>53</v>
      </c>
      <c r="C62">
        <v>2839</v>
      </c>
      <c r="D62" t="s">
        <v>79</v>
      </c>
    </row>
    <row r="63" spans="1:4" x14ac:dyDescent="0.25">
      <c r="A63" t="s">
        <v>44</v>
      </c>
      <c r="B63" t="s">
        <v>54</v>
      </c>
      <c r="C63">
        <v>591</v>
      </c>
      <c r="D63" t="s">
        <v>80</v>
      </c>
    </row>
    <row r="64" spans="1:4" x14ac:dyDescent="0.25">
      <c r="A64" t="s">
        <v>264</v>
      </c>
      <c r="B64" t="s">
        <v>43</v>
      </c>
      <c r="C64">
        <v>2921</v>
      </c>
      <c r="D64" t="s">
        <v>62</v>
      </c>
    </row>
    <row r="65" spans="1:4" x14ac:dyDescent="0.25">
      <c r="A65" t="s">
        <v>44</v>
      </c>
      <c r="B65" t="s">
        <v>265</v>
      </c>
      <c r="C65">
        <v>2074</v>
      </c>
      <c r="D65" t="s">
        <v>38</v>
      </c>
    </row>
    <row r="66" spans="1:4" x14ac:dyDescent="0.25">
      <c r="A66" t="s">
        <v>44</v>
      </c>
      <c r="B66" t="s">
        <v>53</v>
      </c>
      <c r="C66">
        <v>701</v>
      </c>
      <c r="D66" t="s">
        <v>79</v>
      </c>
    </row>
    <row r="67" spans="1:4" x14ac:dyDescent="0.25">
      <c r="A67" t="s">
        <v>44</v>
      </c>
      <c r="B67" t="s">
        <v>54</v>
      </c>
      <c r="C67">
        <v>146</v>
      </c>
      <c r="D67" t="s">
        <v>80</v>
      </c>
    </row>
    <row r="68" spans="1:4" x14ac:dyDescent="0.25">
      <c r="A68" t="s">
        <v>266</v>
      </c>
      <c r="B68" t="s">
        <v>43</v>
      </c>
      <c r="C68">
        <v>1504</v>
      </c>
      <c r="D68" t="s">
        <v>62</v>
      </c>
    </row>
    <row r="69" spans="1:4" x14ac:dyDescent="0.25">
      <c r="A69" t="s">
        <v>44</v>
      </c>
      <c r="B69" t="s">
        <v>267</v>
      </c>
      <c r="C69">
        <v>1067</v>
      </c>
      <c r="D69" t="s">
        <v>38</v>
      </c>
    </row>
    <row r="70" spans="1:4" x14ac:dyDescent="0.25">
      <c r="A70" t="s">
        <v>44</v>
      </c>
      <c r="B70" t="s">
        <v>53</v>
      </c>
      <c r="C70">
        <v>360</v>
      </c>
      <c r="D70" t="s">
        <v>79</v>
      </c>
    </row>
    <row r="71" spans="1:4" x14ac:dyDescent="0.25">
      <c r="A71" t="s">
        <v>44</v>
      </c>
      <c r="B71" t="s">
        <v>54</v>
      </c>
      <c r="C71">
        <v>75</v>
      </c>
      <c r="D71" t="s">
        <v>80</v>
      </c>
    </row>
    <row r="72" spans="1:4" x14ac:dyDescent="0.25">
      <c r="A72" t="s">
        <v>268</v>
      </c>
      <c r="B72" t="s">
        <v>43</v>
      </c>
      <c r="C72">
        <v>2500</v>
      </c>
      <c r="D72" t="s">
        <v>62</v>
      </c>
    </row>
    <row r="73" spans="1:4" x14ac:dyDescent="0.25">
      <c r="A73" t="s">
        <v>44</v>
      </c>
      <c r="B73" t="s">
        <v>269</v>
      </c>
      <c r="C73">
        <v>1775</v>
      </c>
      <c r="D73" t="s">
        <v>38</v>
      </c>
    </row>
    <row r="74" spans="1:4" x14ac:dyDescent="0.25">
      <c r="A74" t="s">
        <v>44</v>
      </c>
      <c r="B74" t="s">
        <v>53</v>
      </c>
      <c r="C74">
        <v>600</v>
      </c>
      <c r="D74" t="s">
        <v>79</v>
      </c>
    </row>
    <row r="75" spans="1:4" x14ac:dyDescent="0.25">
      <c r="A75" t="s">
        <v>44</v>
      </c>
      <c r="B75" t="s">
        <v>54</v>
      </c>
      <c r="C75">
        <v>125</v>
      </c>
      <c r="D75" t="s">
        <v>80</v>
      </c>
    </row>
    <row r="76" spans="1:4" x14ac:dyDescent="0.25">
      <c r="A76" t="s">
        <v>270</v>
      </c>
      <c r="B76" t="s">
        <v>43</v>
      </c>
      <c r="C76">
        <v>2500</v>
      </c>
      <c r="D76" t="s">
        <v>62</v>
      </c>
    </row>
    <row r="77" spans="1:4" x14ac:dyDescent="0.25">
      <c r="A77" t="s">
        <v>44</v>
      </c>
      <c r="B77" t="s">
        <v>187</v>
      </c>
      <c r="C77">
        <v>1775</v>
      </c>
      <c r="D77" t="s">
        <v>38</v>
      </c>
    </row>
    <row r="78" spans="1:4" x14ac:dyDescent="0.25">
      <c r="A78" t="s">
        <v>44</v>
      </c>
      <c r="B78" t="s">
        <v>53</v>
      </c>
      <c r="C78">
        <v>600</v>
      </c>
      <c r="D78" t="s">
        <v>79</v>
      </c>
    </row>
    <row r="79" spans="1:4" x14ac:dyDescent="0.25">
      <c r="A79" t="s">
        <v>44</v>
      </c>
      <c r="B79" t="s">
        <v>54</v>
      </c>
      <c r="C79">
        <v>125</v>
      </c>
      <c r="D79" t="s">
        <v>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30"/>
  <sheetViews>
    <sheetView workbookViewId="0">
      <selection activeCell="C1" sqref="C1"/>
    </sheetView>
  </sheetViews>
  <sheetFormatPr defaultRowHeight="15" x14ac:dyDescent="0.25"/>
  <cols>
    <col min="1" max="1" width="10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51</v>
      </c>
      <c r="B1" t="s">
        <v>112</v>
      </c>
      <c r="C1" t="s">
        <v>113</v>
      </c>
      <c r="D1" t="s">
        <v>62</v>
      </c>
    </row>
    <row r="2" spans="1:4" x14ac:dyDescent="0.25">
      <c r="A2" t="s">
        <v>99</v>
      </c>
      <c r="B2" t="s">
        <v>43</v>
      </c>
      <c r="C2">
        <v>21472</v>
      </c>
      <c r="D2" t="s">
        <v>62</v>
      </c>
    </row>
    <row r="3" spans="1:4" x14ac:dyDescent="0.25">
      <c r="A3" t="s">
        <v>44</v>
      </c>
      <c r="B3" t="s">
        <v>271</v>
      </c>
      <c r="C3">
        <v>184</v>
      </c>
      <c r="D3" t="s">
        <v>79</v>
      </c>
    </row>
    <row r="4" spans="1:4" x14ac:dyDescent="0.25">
      <c r="A4" t="s">
        <v>44</v>
      </c>
      <c r="B4" t="s">
        <v>269</v>
      </c>
      <c r="C4">
        <v>1106</v>
      </c>
      <c r="D4" t="s">
        <v>79</v>
      </c>
    </row>
    <row r="5" spans="1:4" x14ac:dyDescent="0.25">
      <c r="A5" t="s">
        <v>44</v>
      </c>
      <c r="B5" t="s">
        <v>272</v>
      </c>
      <c r="C5">
        <v>502</v>
      </c>
      <c r="D5" t="s">
        <v>79</v>
      </c>
    </row>
    <row r="6" spans="1:4" x14ac:dyDescent="0.25">
      <c r="A6" t="s">
        <v>44</v>
      </c>
      <c r="B6" t="s">
        <v>273</v>
      </c>
      <c r="C6">
        <v>450</v>
      </c>
      <c r="D6" t="s">
        <v>79</v>
      </c>
    </row>
    <row r="7" spans="1:4" x14ac:dyDescent="0.25">
      <c r="A7" t="s">
        <v>44</v>
      </c>
      <c r="B7" t="s">
        <v>247</v>
      </c>
      <c r="C7">
        <v>425</v>
      </c>
      <c r="D7" t="s">
        <v>79</v>
      </c>
    </row>
    <row r="8" spans="1:4" x14ac:dyDescent="0.25">
      <c r="A8" t="s">
        <v>44</v>
      </c>
      <c r="B8" t="s">
        <v>231</v>
      </c>
      <c r="C8">
        <v>72</v>
      </c>
      <c r="D8" t="s">
        <v>79</v>
      </c>
    </row>
    <row r="9" spans="1:4" x14ac:dyDescent="0.25">
      <c r="A9" t="s">
        <v>44</v>
      </c>
      <c r="B9" t="s">
        <v>232</v>
      </c>
      <c r="C9">
        <v>74</v>
      </c>
      <c r="D9" t="s">
        <v>79</v>
      </c>
    </row>
    <row r="10" spans="1:4" x14ac:dyDescent="0.25">
      <c r="A10" t="s">
        <v>44</v>
      </c>
      <c r="B10" t="s">
        <v>228</v>
      </c>
      <c r="C10">
        <v>335</v>
      </c>
      <c r="D10" t="s">
        <v>79</v>
      </c>
    </row>
    <row r="11" spans="1:4" x14ac:dyDescent="0.25">
      <c r="A11" t="s">
        <v>44</v>
      </c>
      <c r="B11" t="s">
        <v>187</v>
      </c>
      <c r="C11">
        <v>866</v>
      </c>
      <c r="D11" t="s">
        <v>79</v>
      </c>
    </row>
    <row r="12" spans="1:4" x14ac:dyDescent="0.25">
      <c r="A12" t="s">
        <v>44</v>
      </c>
      <c r="B12" t="s">
        <v>241</v>
      </c>
      <c r="C12">
        <v>794</v>
      </c>
      <c r="D12" t="s">
        <v>79</v>
      </c>
    </row>
    <row r="13" spans="1:4" x14ac:dyDescent="0.25">
      <c r="A13" t="s">
        <v>44</v>
      </c>
      <c r="B13" t="s">
        <v>274</v>
      </c>
      <c r="C13">
        <v>1902</v>
      </c>
      <c r="D13" t="s">
        <v>79</v>
      </c>
    </row>
    <row r="14" spans="1:4" x14ac:dyDescent="0.25">
      <c r="A14" t="s">
        <v>44</v>
      </c>
      <c r="B14" t="s">
        <v>229</v>
      </c>
      <c r="C14">
        <v>60</v>
      </c>
      <c r="D14" t="s">
        <v>79</v>
      </c>
    </row>
    <row r="15" spans="1:4" x14ac:dyDescent="0.25">
      <c r="A15" t="s">
        <v>44</v>
      </c>
      <c r="B15" t="s">
        <v>235</v>
      </c>
      <c r="C15">
        <v>6</v>
      </c>
      <c r="D15" t="s">
        <v>79</v>
      </c>
    </row>
    <row r="16" spans="1:4" x14ac:dyDescent="0.25">
      <c r="A16" t="s">
        <v>44</v>
      </c>
      <c r="B16" t="s">
        <v>244</v>
      </c>
      <c r="C16">
        <v>1544</v>
      </c>
      <c r="D16" t="s">
        <v>79</v>
      </c>
    </row>
    <row r="17" spans="1:4" x14ac:dyDescent="0.25">
      <c r="A17" t="s">
        <v>44</v>
      </c>
      <c r="B17" t="s">
        <v>275</v>
      </c>
      <c r="C17">
        <v>1505</v>
      </c>
      <c r="D17" t="s">
        <v>79</v>
      </c>
    </row>
    <row r="18" spans="1:4" x14ac:dyDescent="0.25">
      <c r="A18" t="s">
        <v>44</v>
      </c>
      <c r="B18" t="s">
        <v>276</v>
      </c>
      <c r="C18">
        <v>2833</v>
      </c>
      <c r="D18" t="s">
        <v>79</v>
      </c>
    </row>
    <row r="19" spans="1:4" x14ac:dyDescent="0.25">
      <c r="A19" t="s">
        <v>44</v>
      </c>
      <c r="B19" t="s">
        <v>265</v>
      </c>
      <c r="C19">
        <v>830</v>
      </c>
      <c r="D19" t="s">
        <v>79</v>
      </c>
    </row>
    <row r="20" spans="1:4" x14ac:dyDescent="0.25">
      <c r="A20" t="s">
        <v>44</v>
      </c>
      <c r="B20" t="s">
        <v>267</v>
      </c>
      <c r="C20">
        <v>403</v>
      </c>
      <c r="D20" t="s">
        <v>79</v>
      </c>
    </row>
    <row r="21" spans="1:4" x14ac:dyDescent="0.25">
      <c r="A21" t="s">
        <v>44</v>
      </c>
      <c r="B21" t="s">
        <v>252</v>
      </c>
      <c r="C21">
        <v>62</v>
      </c>
      <c r="D21" t="s">
        <v>79</v>
      </c>
    </row>
    <row r="22" spans="1:4" x14ac:dyDescent="0.25">
      <c r="A22" t="s">
        <v>44</v>
      </c>
      <c r="B22" t="s">
        <v>162</v>
      </c>
      <c r="C22">
        <v>1855</v>
      </c>
      <c r="D22" t="s">
        <v>79</v>
      </c>
    </row>
    <row r="23" spans="1:4" x14ac:dyDescent="0.25">
      <c r="A23" t="s">
        <v>44</v>
      </c>
      <c r="B23" t="s">
        <v>181</v>
      </c>
      <c r="C23">
        <v>416</v>
      </c>
      <c r="D23" t="s">
        <v>79</v>
      </c>
    </row>
    <row r="24" spans="1:4" x14ac:dyDescent="0.25">
      <c r="A24" t="s">
        <v>44</v>
      </c>
      <c r="B24" t="s">
        <v>189</v>
      </c>
      <c r="C24">
        <v>1907</v>
      </c>
      <c r="D24" t="s">
        <v>79</v>
      </c>
    </row>
    <row r="25" spans="1:4" x14ac:dyDescent="0.25">
      <c r="A25" t="s">
        <v>44</v>
      </c>
      <c r="B25" t="s">
        <v>167</v>
      </c>
      <c r="C25">
        <v>572</v>
      </c>
      <c r="D25" t="s">
        <v>79</v>
      </c>
    </row>
    <row r="26" spans="1:4" x14ac:dyDescent="0.25">
      <c r="A26" t="s">
        <v>44</v>
      </c>
      <c r="B26" t="s">
        <v>198</v>
      </c>
      <c r="C26">
        <v>200</v>
      </c>
      <c r="D26" t="s">
        <v>79</v>
      </c>
    </row>
    <row r="27" spans="1:4" x14ac:dyDescent="0.25">
      <c r="A27" t="s">
        <v>44</v>
      </c>
      <c r="B27" t="s">
        <v>168</v>
      </c>
      <c r="C27">
        <v>100</v>
      </c>
      <c r="D27" t="s">
        <v>79</v>
      </c>
    </row>
    <row r="28" spans="1:4" x14ac:dyDescent="0.25">
      <c r="A28" t="s">
        <v>44</v>
      </c>
      <c r="B28" t="s">
        <v>154</v>
      </c>
      <c r="C28">
        <v>282</v>
      </c>
      <c r="D28" t="s">
        <v>79</v>
      </c>
    </row>
    <row r="29" spans="1:4" x14ac:dyDescent="0.25">
      <c r="A29" t="s">
        <v>44</v>
      </c>
      <c r="B29" t="s">
        <v>218</v>
      </c>
      <c r="C29">
        <v>33</v>
      </c>
      <c r="D29" t="s">
        <v>79</v>
      </c>
    </row>
    <row r="30" spans="1:4" x14ac:dyDescent="0.25">
      <c r="A30" t="s">
        <v>44</v>
      </c>
      <c r="B30" t="s">
        <v>54</v>
      </c>
      <c r="C30">
        <v>2147</v>
      </c>
      <c r="D30" t="s">
        <v>79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14"/>
  <sheetViews>
    <sheetView workbookViewId="0">
      <selection activeCell="C3" sqref="C3:C66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112</v>
      </c>
      <c r="C1" t="s">
        <v>113</v>
      </c>
      <c r="D1" t="s">
        <v>62</v>
      </c>
    </row>
    <row r="2" spans="1:4" x14ac:dyDescent="0.25">
      <c r="A2" t="s">
        <v>100</v>
      </c>
      <c r="B2" t="s">
        <v>43</v>
      </c>
      <c r="C2">
        <v>6154</v>
      </c>
      <c r="D2" t="s">
        <v>62</v>
      </c>
    </row>
    <row r="3" spans="1:4" x14ac:dyDescent="0.25">
      <c r="A3" t="s">
        <v>44</v>
      </c>
      <c r="B3" t="s">
        <v>256</v>
      </c>
      <c r="C3">
        <v>940</v>
      </c>
      <c r="D3" t="s">
        <v>80</v>
      </c>
    </row>
    <row r="4" spans="1:4" x14ac:dyDescent="0.25">
      <c r="A4" t="s">
        <v>44</v>
      </c>
      <c r="B4" t="s">
        <v>231</v>
      </c>
      <c r="C4">
        <v>527</v>
      </c>
      <c r="D4" t="s">
        <v>80</v>
      </c>
    </row>
    <row r="5" spans="1:4" x14ac:dyDescent="0.25">
      <c r="A5" t="s">
        <v>44</v>
      </c>
      <c r="B5" t="s">
        <v>239</v>
      </c>
      <c r="C5">
        <v>45</v>
      </c>
      <c r="D5" t="s">
        <v>80</v>
      </c>
    </row>
    <row r="6" spans="1:4" x14ac:dyDescent="0.25">
      <c r="A6" t="s">
        <v>44</v>
      </c>
      <c r="B6" t="s">
        <v>248</v>
      </c>
      <c r="C6">
        <v>624</v>
      </c>
      <c r="D6" t="s">
        <v>80</v>
      </c>
    </row>
    <row r="7" spans="1:4" x14ac:dyDescent="0.25">
      <c r="A7" t="s">
        <v>44</v>
      </c>
      <c r="B7" t="s">
        <v>277</v>
      </c>
      <c r="C7">
        <v>320</v>
      </c>
      <c r="D7" t="s">
        <v>80</v>
      </c>
    </row>
    <row r="8" spans="1:4" x14ac:dyDescent="0.25">
      <c r="A8" t="s">
        <v>44</v>
      </c>
      <c r="B8" t="s">
        <v>249</v>
      </c>
      <c r="C8">
        <v>365</v>
      </c>
      <c r="D8" t="s">
        <v>80</v>
      </c>
    </row>
    <row r="9" spans="1:4" x14ac:dyDescent="0.25">
      <c r="A9" t="s">
        <v>44</v>
      </c>
      <c r="B9" t="s">
        <v>261</v>
      </c>
      <c r="C9">
        <v>1009</v>
      </c>
      <c r="D9" t="s">
        <v>80</v>
      </c>
    </row>
    <row r="10" spans="1:4" x14ac:dyDescent="0.25">
      <c r="A10" t="s">
        <v>44</v>
      </c>
      <c r="B10" t="s">
        <v>250</v>
      </c>
      <c r="C10">
        <v>121</v>
      </c>
      <c r="D10" t="s">
        <v>80</v>
      </c>
    </row>
    <row r="11" spans="1:4" x14ac:dyDescent="0.25">
      <c r="A11" t="s">
        <v>44</v>
      </c>
      <c r="B11" t="s">
        <v>251</v>
      </c>
      <c r="C11">
        <v>639</v>
      </c>
      <c r="D11" t="s">
        <v>80</v>
      </c>
    </row>
    <row r="12" spans="1:4" x14ac:dyDescent="0.25">
      <c r="A12" t="s">
        <v>44</v>
      </c>
      <c r="B12" t="s">
        <v>278</v>
      </c>
      <c r="C12">
        <v>331</v>
      </c>
      <c r="D12" t="s">
        <v>80</v>
      </c>
    </row>
    <row r="13" spans="1:4" x14ac:dyDescent="0.25">
      <c r="A13" t="s">
        <v>44</v>
      </c>
      <c r="B13" t="s">
        <v>168</v>
      </c>
      <c r="C13">
        <v>615</v>
      </c>
      <c r="D13" t="s">
        <v>80</v>
      </c>
    </row>
    <row r="14" spans="1:4" x14ac:dyDescent="0.25">
      <c r="A14" t="s">
        <v>44</v>
      </c>
      <c r="B14" t="s">
        <v>53</v>
      </c>
      <c r="C14">
        <v>615</v>
      </c>
      <c r="D14" t="s">
        <v>79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21"/>
  <sheetViews>
    <sheetView workbookViewId="0">
      <selection activeCell="C2" sqref="C2"/>
    </sheetView>
  </sheetViews>
  <sheetFormatPr defaultRowHeight="15" x14ac:dyDescent="0.25"/>
  <cols>
    <col min="1" max="1" width="15.28515625" bestFit="1" customWidth="1"/>
    <col min="2" max="2" width="8.5703125" bestFit="1" customWidth="1"/>
    <col min="3" max="3" width="6.5703125" bestFit="1" customWidth="1"/>
    <col min="4" max="4" width="9.5703125" bestFit="1" customWidth="1"/>
    <col min="5" max="5" width="6.7109375" bestFit="1" customWidth="1"/>
    <col min="6" max="6" width="6.7109375" customWidth="1"/>
    <col min="7" max="7" width="9.7109375" style="1" bestFit="1" customWidth="1"/>
  </cols>
  <sheetData>
    <row r="1" spans="1:7" x14ac:dyDescent="0.25">
      <c r="A1" t="s">
        <v>45</v>
      </c>
      <c r="B1" t="s">
        <v>46</v>
      </c>
      <c r="C1" t="s">
        <v>107</v>
      </c>
      <c r="D1" t="s">
        <v>108</v>
      </c>
      <c r="E1" t="s">
        <v>47</v>
      </c>
      <c r="F1" t="s">
        <v>48</v>
      </c>
      <c r="G1"/>
    </row>
    <row r="2" spans="1:7" x14ac:dyDescent="0.25">
      <c r="A2" t="s">
        <v>131</v>
      </c>
      <c r="B2" t="s">
        <v>49</v>
      </c>
      <c r="C2" t="s">
        <v>50</v>
      </c>
      <c r="D2" t="s">
        <v>87</v>
      </c>
      <c r="E2" t="s">
        <v>279</v>
      </c>
      <c r="F2" t="s">
        <v>117</v>
      </c>
      <c r="G2"/>
    </row>
    <row r="3" spans="1:7" x14ac:dyDescent="0.25">
      <c r="A3" t="s">
        <v>132</v>
      </c>
      <c r="B3" t="s">
        <v>49</v>
      </c>
      <c r="C3" t="s">
        <v>49</v>
      </c>
      <c r="D3" t="s">
        <v>50</v>
      </c>
      <c r="E3" t="s">
        <v>280</v>
      </c>
      <c r="F3" t="s">
        <v>281</v>
      </c>
      <c r="G3"/>
    </row>
    <row r="4" spans="1:7" x14ac:dyDescent="0.25">
      <c r="A4" t="s">
        <v>133</v>
      </c>
      <c r="B4" t="s">
        <v>50</v>
      </c>
      <c r="C4" t="s">
        <v>49</v>
      </c>
      <c r="D4" t="s">
        <v>87</v>
      </c>
      <c r="E4" t="s">
        <v>282</v>
      </c>
      <c r="F4" t="s">
        <v>283</v>
      </c>
      <c r="G4"/>
    </row>
    <row r="5" spans="1:7" x14ac:dyDescent="0.25">
      <c r="A5" t="s">
        <v>134</v>
      </c>
      <c r="B5" t="s">
        <v>49</v>
      </c>
      <c r="C5" t="s">
        <v>56</v>
      </c>
      <c r="D5" t="s">
        <v>49</v>
      </c>
      <c r="E5" t="s">
        <v>284</v>
      </c>
      <c r="F5" t="s">
        <v>285</v>
      </c>
      <c r="G5"/>
    </row>
    <row r="6" spans="1:7" x14ac:dyDescent="0.25">
      <c r="A6" t="s">
        <v>135</v>
      </c>
      <c r="B6" t="s">
        <v>49</v>
      </c>
      <c r="C6" t="s">
        <v>49</v>
      </c>
      <c r="D6" t="s">
        <v>50</v>
      </c>
      <c r="E6" t="s">
        <v>286</v>
      </c>
      <c r="F6" t="s">
        <v>287</v>
      </c>
      <c r="G6"/>
    </row>
    <row r="7" spans="1:7" x14ac:dyDescent="0.25">
      <c r="A7" t="s">
        <v>136</v>
      </c>
      <c r="B7" t="s">
        <v>50</v>
      </c>
      <c r="C7" t="s">
        <v>49</v>
      </c>
      <c r="D7" t="s">
        <v>87</v>
      </c>
      <c r="E7" t="s">
        <v>288</v>
      </c>
      <c r="F7" t="s">
        <v>289</v>
      </c>
      <c r="G7"/>
    </row>
    <row r="8" spans="1:7" x14ac:dyDescent="0.25">
      <c r="A8" t="s">
        <v>137</v>
      </c>
      <c r="B8" t="s">
        <v>50</v>
      </c>
      <c r="C8" t="s">
        <v>87</v>
      </c>
      <c r="D8" t="s">
        <v>290</v>
      </c>
      <c r="E8" t="s">
        <v>291</v>
      </c>
      <c r="F8" t="s">
        <v>292</v>
      </c>
      <c r="G8"/>
    </row>
    <row r="9" spans="1:7" x14ac:dyDescent="0.25">
      <c r="A9" t="s">
        <v>138</v>
      </c>
      <c r="B9" t="s">
        <v>49</v>
      </c>
      <c r="C9" t="s">
        <v>56</v>
      </c>
      <c r="D9" t="s">
        <v>49</v>
      </c>
      <c r="E9" t="s">
        <v>293</v>
      </c>
      <c r="F9" t="s">
        <v>294</v>
      </c>
      <c r="G9"/>
    </row>
    <row r="10" spans="1:7" x14ac:dyDescent="0.25">
      <c r="A10" t="s">
        <v>139</v>
      </c>
      <c r="B10" t="s">
        <v>49</v>
      </c>
      <c r="C10" t="s">
        <v>56</v>
      </c>
      <c r="D10" t="s">
        <v>49</v>
      </c>
      <c r="E10" t="s">
        <v>295</v>
      </c>
      <c r="F10" t="s">
        <v>123</v>
      </c>
      <c r="G10"/>
    </row>
    <row r="11" spans="1:7" x14ac:dyDescent="0.25">
      <c r="A11" t="s">
        <v>129</v>
      </c>
      <c r="B11" t="s">
        <v>49</v>
      </c>
      <c r="C11" t="s">
        <v>56</v>
      </c>
      <c r="D11" t="s">
        <v>49</v>
      </c>
      <c r="E11" t="s">
        <v>106</v>
      </c>
      <c r="F11" t="s">
        <v>123</v>
      </c>
      <c r="G11"/>
    </row>
    <row r="12" spans="1:7" x14ac:dyDescent="0.25">
      <c r="A12" t="s">
        <v>140</v>
      </c>
      <c r="B12" t="s">
        <v>49</v>
      </c>
      <c r="C12" t="s">
        <v>87</v>
      </c>
      <c r="D12" t="s">
        <v>121</v>
      </c>
      <c r="E12" t="s">
        <v>296</v>
      </c>
      <c r="F12" t="s">
        <v>297</v>
      </c>
      <c r="G12"/>
    </row>
    <row r="13" spans="1:7" x14ac:dyDescent="0.25">
      <c r="A13" t="s">
        <v>126</v>
      </c>
      <c r="B13" t="s">
        <v>50</v>
      </c>
      <c r="C13" t="s">
        <v>56</v>
      </c>
      <c r="D13" t="s">
        <v>50</v>
      </c>
      <c r="E13" t="s">
        <v>298</v>
      </c>
      <c r="F13" t="s">
        <v>299</v>
      </c>
      <c r="G13"/>
    </row>
    <row r="14" spans="1:7" x14ac:dyDescent="0.25">
      <c r="A14" t="s">
        <v>141</v>
      </c>
      <c r="B14" t="s">
        <v>49</v>
      </c>
      <c r="C14" t="s">
        <v>56</v>
      </c>
      <c r="D14" t="s">
        <v>49</v>
      </c>
      <c r="E14" t="s">
        <v>300</v>
      </c>
      <c r="F14" t="s">
        <v>122</v>
      </c>
      <c r="G14"/>
    </row>
    <row r="15" spans="1:7" x14ac:dyDescent="0.25">
      <c r="A15" t="s">
        <v>142</v>
      </c>
      <c r="B15" t="s">
        <v>49</v>
      </c>
      <c r="C15" t="s">
        <v>56</v>
      </c>
      <c r="D15" t="s">
        <v>49</v>
      </c>
      <c r="E15" t="s">
        <v>106</v>
      </c>
      <c r="F15" t="s">
        <v>123</v>
      </c>
      <c r="G15"/>
    </row>
    <row r="16" spans="1:7" x14ac:dyDescent="0.25">
      <c r="A16" t="s">
        <v>301</v>
      </c>
      <c r="B16" t="s">
        <v>49</v>
      </c>
      <c r="C16" t="s">
        <v>109</v>
      </c>
      <c r="D16" t="s">
        <v>49</v>
      </c>
      <c r="E16" t="s">
        <v>106</v>
      </c>
      <c r="F16" t="s">
        <v>123</v>
      </c>
      <c r="G16"/>
    </row>
    <row r="17" spans="7:7" x14ac:dyDescent="0.25">
      <c r="G17"/>
    </row>
    <row r="18" spans="7:7" x14ac:dyDescent="0.25">
      <c r="G18"/>
    </row>
    <row r="19" spans="7:7" x14ac:dyDescent="0.25">
      <c r="G19"/>
    </row>
    <row r="20" spans="7:7" x14ac:dyDescent="0.25">
      <c r="G20"/>
    </row>
    <row r="21" spans="7:7" x14ac:dyDescent="0.25">
      <c r="G2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2"/>
  <sheetViews>
    <sheetView workbookViewId="0">
      <selection activeCell="D2" sqref="D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51</v>
      </c>
      <c r="B1" t="s">
        <v>46</v>
      </c>
      <c r="C1" t="s">
        <v>47</v>
      </c>
      <c r="D1" t="s">
        <v>48</v>
      </c>
    </row>
    <row r="2" spans="1:4" x14ac:dyDescent="0.25">
      <c r="A2" t="s">
        <v>42</v>
      </c>
      <c r="B2" t="s">
        <v>302</v>
      </c>
      <c r="C2" t="s">
        <v>303</v>
      </c>
      <c r="D2" t="s">
        <v>74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2"/>
  <sheetViews>
    <sheetView workbookViewId="0"/>
  </sheetViews>
  <sheetFormatPr defaultRowHeight="15" x14ac:dyDescent="0.25"/>
  <cols>
    <col min="1" max="1" width="7.140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52</v>
      </c>
      <c r="B1" t="s">
        <v>46</v>
      </c>
      <c r="C1" t="s">
        <v>47</v>
      </c>
      <c r="D1" t="s">
        <v>48</v>
      </c>
    </row>
    <row r="2" spans="1:4" x14ac:dyDescent="0.25">
      <c r="A2" t="s">
        <v>25</v>
      </c>
      <c r="B2" t="s">
        <v>302</v>
      </c>
      <c r="C2" t="s">
        <v>304</v>
      </c>
      <c r="D2" t="s">
        <v>305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2026-04-01T01:53:40Z</dcterms:modified>
</cp:coreProperties>
</file>